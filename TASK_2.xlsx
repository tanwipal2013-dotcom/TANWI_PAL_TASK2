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PROJECT\POWER BI\Maincraft\TASK2\"/>
    </mc:Choice>
  </mc:AlternateContent>
  <xr:revisionPtr revIDLastSave="0" documentId="13_ncr:1_{A1E1BFB6-97BC-4EC3-B4D7-C013E8581792}" xr6:coauthVersionLast="47" xr6:coauthVersionMax="47" xr10:uidLastSave="{00000000-0000-0000-0000-000000000000}"/>
  <bookViews>
    <workbookView xWindow="-110" yWindow="-110" windowWidth="19420" windowHeight="10300" tabRatio="500" firstSheet="3" activeTab="5" xr2:uid="{00000000-000D-0000-FFFF-FFFF00000000}"/>
  </bookViews>
  <sheets>
    <sheet name="ORDERS" sheetId="1" r:id="rId1"/>
    <sheet name="CUSTOMER" sheetId="2" r:id="rId2"/>
    <sheet name="DERIVED TABLE" sheetId="5" r:id="rId3"/>
    <sheet name="DERIVED TABLE 1" sheetId="6" r:id="rId4"/>
    <sheet name="DERIVED TABLE 2" sheetId="8" r:id="rId5"/>
    <sheet name="REPORT" sheetId="7" r:id="rId6"/>
  </sheet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2" i="8"/>
</calcChain>
</file>

<file path=xl/sharedStrings.xml><?xml version="1.0" encoding="utf-8"?>
<sst xmlns="http://schemas.openxmlformats.org/spreadsheetml/2006/main" count="573" uniqueCount="85">
  <si>
    <t>ORDER_ID</t>
  </si>
  <si>
    <t>ORDER_DATE</t>
  </si>
  <si>
    <t>CUSTOMER_ID</t>
  </si>
  <si>
    <t>PRODUCT_CATEGORY</t>
  </si>
  <si>
    <t>SALES</t>
  </si>
  <si>
    <t>QUANTITY</t>
  </si>
  <si>
    <t>PROFIT</t>
  </si>
  <si>
    <t>DISCOUNT</t>
  </si>
  <si>
    <t>Technology</t>
  </si>
  <si>
    <t>Furniture</t>
  </si>
  <si>
    <t>Office Supplies</t>
  </si>
  <si>
    <t>CUSTOMER_NAME</t>
  </si>
  <si>
    <t>REGION</t>
  </si>
  <si>
    <t>SEGMENT</t>
  </si>
  <si>
    <t>Aarav Sharma</t>
  </si>
  <si>
    <t>North</t>
  </si>
  <si>
    <t>Consumer</t>
  </si>
  <si>
    <t>Priya Patel</t>
  </si>
  <si>
    <t>West</t>
  </si>
  <si>
    <t>Corporate</t>
  </si>
  <si>
    <t>Rahul Verma</t>
  </si>
  <si>
    <t>South</t>
  </si>
  <si>
    <t>Small Business</t>
  </si>
  <si>
    <t>Sneha Gupta</t>
  </si>
  <si>
    <t>East</t>
  </si>
  <si>
    <t>Arjun Singh</t>
  </si>
  <si>
    <t>Ananya Desai</t>
  </si>
  <si>
    <t>Rohan Mehta</t>
  </si>
  <si>
    <t>Kavya Joshi</t>
  </si>
  <si>
    <t>Vikram Rao</t>
  </si>
  <si>
    <t>Ishita Shah</t>
  </si>
  <si>
    <t>Aditya Kumar</t>
  </si>
  <si>
    <t>Pooja Nair</t>
  </si>
  <si>
    <t>Karan Malhotra</t>
  </si>
  <si>
    <t>Neha Kulkarni</t>
  </si>
  <si>
    <t>Siddharth Jain</t>
  </si>
  <si>
    <t>Meera Iyer</t>
  </si>
  <si>
    <t>Varun Kapoor</t>
  </si>
  <si>
    <t>Riya Mishra</t>
  </si>
  <si>
    <t>Amit Choudhary</t>
  </si>
  <si>
    <t>Simran Kaur</t>
  </si>
  <si>
    <t>Nikhil Sinha</t>
  </si>
  <si>
    <t>Tanvi Pawar</t>
  </si>
  <si>
    <t>Manish Yadav</t>
  </si>
  <si>
    <t>Shreya Das</t>
  </si>
  <si>
    <t>Dev Malhotra</t>
  </si>
  <si>
    <t>Aisha Khan</t>
  </si>
  <si>
    <t>Saurabh Mishra</t>
  </si>
  <si>
    <t>Diya Menon</t>
  </si>
  <si>
    <t>Harsh Agarwal</t>
  </si>
  <si>
    <t>Naina Roy</t>
  </si>
  <si>
    <t>Akash Thakur</t>
  </si>
  <si>
    <t>Manya Saxena</t>
  </si>
  <si>
    <t>Rajat Bansal</t>
  </si>
  <si>
    <t>Komal Chavan</t>
  </si>
  <si>
    <t>Yash Tiwari</t>
  </si>
  <si>
    <t>Sakshi Reddy</t>
  </si>
  <si>
    <t>Mohit Arora</t>
  </si>
  <si>
    <t>Tanya Bose</t>
  </si>
  <si>
    <t>Deepak Pillai</t>
  </si>
  <si>
    <t>Avni Trivedi</t>
  </si>
  <si>
    <t>Abhishek Ghosh</t>
  </si>
  <si>
    <t>Nisha Shetty</t>
  </si>
  <si>
    <t>Varsha Patil</t>
  </si>
  <si>
    <t>Kabir Anand</t>
  </si>
  <si>
    <t>Reema Thomas</t>
  </si>
  <si>
    <t>Pranav More</t>
  </si>
  <si>
    <t>Sonal Bhatia</t>
  </si>
  <si>
    <t>Kunal Sethi</t>
  </si>
  <si>
    <t>Ira Mukherjee</t>
  </si>
  <si>
    <t>Omkar Jadhav</t>
  </si>
  <si>
    <t>Grand Total</t>
  </si>
  <si>
    <t>Sum of SALES</t>
  </si>
  <si>
    <t>Column Labels</t>
  </si>
  <si>
    <t>Sum of PROFIT</t>
  </si>
  <si>
    <t>Jan</t>
  </si>
  <si>
    <t>Feb</t>
  </si>
  <si>
    <t>(All)</t>
  </si>
  <si>
    <t>Region</t>
  </si>
  <si>
    <t>Customer Name</t>
  </si>
  <si>
    <t>SALES BY REGION AND SEGMENT</t>
  </si>
  <si>
    <t>PROFIT BY CATEGORY AND REGION</t>
  </si>
  <si>
    <t xml:space="preserve">                     TOP 10 CUSTOMERS</t>
  </si>
  <si>
    <t xml:space="preserve">                  MONTHLY SALES TREND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</si>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</sst>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1.542338194442" createdVersion="8" refreshedVersion="8" minRefreshableVersion="3" recordCount="50" xr:uid="{00FBA69C-76CC-4CD6-B1D2-59C63AE99D46}">
  <cacheSource type="worksheet">
    <worksheetSource ref="A1:D51" sheet="DERIVED TABLE"/>
  </cacheSource>
  <cacheFields count="4">
    <cacheField name="CUSTOMER_ID" numFmtId="0">
      <sharedItems containsSemiMixedTypes="0" containsString="0" containsNumber="1" containsInteger="1" minValue="101" maxValue="150"/>
    </cacheField>
    <cacheField name="REGION" numFmtId="0">
      <sharedItems count="4">
        <s v="North"/>
        <s v="West"/>
        <s v="South"/>
        <s v="East"/>
      </sharedItems>
    </cacheField>
    <cacheField name="SEGMENT" numFmtId="0">
      <sharedItems count="3">
        <s v="Consumer"/>
        <s v="Corporate"/>
        <s v="Small Business"/>
      </sharedItems>
    </cacheField>
    <cacheField name="SALES" numFmtId="0">
      <sharedItems containsSemiMixedTypes="0" containsString="0" containsNumber="1" containsInteger="1" minValue="1800" maxValue="3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1.73795185185" createdVersion="8" refreshedVersion="8" minRefreshableVersion="3" recordCount="50" xr:uid="{3ED9D9D2-E3B8-4D6C-993C-2958867C9F4F}">
  <cacheSource type="worksheet">
    <worksheetSource ref="A1:H51" sheet="ORDERS"/>
  </cacheSource>
  <cacheFields count="10">
    <cacheField name="ORDER_ID" numFmtId="0">
      <sharedItems containsSemiMixedTypes="0" containsString="0" containsNumber="1" containsInteger="1" minValue="1" maxValue="50"/>
    </cacheField>
    <cacheField name="ORDER_DATE" numFmtId="164">
      <sharedItems containsSemiMixedTypes="0" containsNonDate="0" containsDate="1" containsString="0" minDate="2026-01-01T00:00:00" maxDate="2026-02-21T00:00:00" count="5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</sharedItems>
      <fieldGroup par="9"/>
    </cacheField>
    <cacheField name="CUSTOMER_ID" numFmtId="0">
      <sharedItems containsSemiMixedTypes="0" containsString="0" containsNumber="1" containsInteger="1" minValue="101" maxValue="150"/>
    </cacheField>
    <cacheField name="PRODUCT_CATEGORY" numFmtId="0">
      <sharedItems/>
    </cacheField>
    <cacheField name="SALES" numFmtId="0">
      <sharedItems containsSemiMixedTypes="0" containsString="0" containsNumber="1" containsInteger="1" minValue="1800" maxValue="35000"/>
    </cacheField>
    <cacheField name="QUANTITY" numFmtId="0">
      <sharedItems containsSemiMixedTypes="0" containsString="0" containsNumber="1" containsInteger="1" minValue="1" maxValue="9"/>
    </cacheField>
    <cacheField name="PROFIT" numFmtId="0">
      <sharedItems containsSemiMixedTypes="0" containsString="0" containsNumber="1" containsInteger="1" minValue="350" maxValue="8000"/>
    </cacheField>
    <cacheField name="DISCOUNT" numFmtId="0">
      <sharedItems containsSemiMixedTypes="0" containsString="0" containsNumber="1" minValue="0" maxValue="0.2"/>
    </cacheField>
    <cacheField name="Days (ORDER_DATE)" numFmtId="0" databaseField="0">
      <fieldGroup base="1">
        <rangePr groupBy="days" startDate="2026-01-01T00:00:00" endDate="2026-02-2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02-2026"/>
        </groupItems>
      </fieldGroup>
    </cacheField>
    <cacheField name="Months (ORDER_DATE)" numFmtId="0" databaseField="0">
      <fieldGroup base="1">
        <rangePr groupBy="months" startDate="2026-01-01T00:00:00" endDate="2026-02-2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1.742718287038" createdVersion="8" refreshedVersion="8" minRefreshableVersion="3" recordCount="51" xr:uid="{45FF7800-D967-44BA-8EA8-C6DFF08FD27F}">
  <cacheSource type="worksheet">
    <worksheetSource ref="A1:E1048576" sheet="DERIVED TABLE 2"/>
  </cacheSource>
  <cacheFields count="5">
    <cacheField name="CUSTOMER_ID" numFmtId="0">
      <sharedItems containsString="0" containsBlank="1" containsNumber="1" containsInteger="1" minValue="101" maxValue="150"/>
    </cacheField>
    <cacheField name="REGION" numFmtId="0">
      <sharedItems containsBlank="1"/>
    </cacheField>
    <cacheField name="SEGMENT" numFmtId="0">
      <sharedItems containsBlank="1"/>
    </cacheField>
    <cacheField name="SALES" numFmtId="0">
      <sharedItems containsString="0" containsBlank="1" containsNumber="1" containsInteger="1" minValue="1800" maxValue="35000" count="51">
        <n v="15000"/>
        <n v="8500"/>
        <n v="2500"/>
        <n v="22000"/>
        <n v="12000"/>
        <n v="1800"/>
        <n v="18500"/>
        <n v="9500"/>
        <n v="3200"/>
        <n v="27500"/>
        <n v="14500"/>
        <n v="2100"/>
        <n v="32000"/>
        <n v="11000"/>
        <n v="4000"/>
        <n v="19500"/>
        <n v="16000"/>
        <n v="2800"/>
        <n v="24000"/>
        <n v="13500"/>
        <n v="3500"/>
        <n v="29000"/>
        <n v="10500"/>
        <n v="2200"/>
        <n v="35000"/>
        <n v="17500"/>
        <n v="3000"/>
        <n v="21000"/>
        <n v="12500"/>
        <n v="4500"/>
        <n v="26000"/>
        <n v="15500"/>
        <n v="1900"/>
        <n v="31000"/>
        <n v="9000"/>
        <n v="2700"/>
        <n v="23000"/>
        <n v="14000"/>
        <n v="3800"/>
        <n v="28000"/>
        <n v="13000"/>
        <n v="2400"/>
        <n v="34000"/>
        <n v="16500"/>
        <n v="3100"/>
        <n v="20000"/>
        <n v="11500"/>
        <n v="4200"/>
        <n v="25000"/>
        <n v="18000"/>
        <m/>
      </sharedItems>
    </cacheField>
    <cacheField name="CUSTOMER_NAME" numFmtId="0">
      <sharedItems containsBlank="1" count="51">
        <s v="Aarav Sharma"/>
        <s v="Priya Patel"/>
        <s v="Rahul Verma"/>
        <s v="Sneha Gupta"/>
        <s v="Arjun Singh"/>
        <s v="Ananya Desai"/>
        <s v="Rohan Mehta"/>
        <s v="Kavya Joshi"/>
        <s v="Vikram Rao"/>
        <s v="Ishita Shah"/>
        <s v="Aditya Kumar"/>
        <s v="Pooja Nair"/>
        <s v="Karan Malhotra"/>
        <s v="Neha Kulkarni"/>
        <s v="Siddharth Jain"/>
        <s v="Meera Iyer"/>
        <s v="Varun Kapoor"/>
        <s v="Riya Mishra"/>
        <s v="Amit Choudhary"/>
        <s v="Simran Kaur"/>
        <s v="Nikhil Sinha"/>
        <s v="Tanvi Pawar"/>
        <s v="Manish Yadav"/>
        <s v="Shreya Das"/>
        <s v="Dev Malhotra"/>
        <s v="Aisha Khan"/>
        <s v="Saurabh Mishra"/>
        <s v="Diya Menon"/>
        <s v="Harsh Agarwal"/>
        <s v="Naina Roy"/>
        <s v="Akash Thakur"/>
        <s v="Manya Saxena"/>
        <s v="Rajat Bansal"/>
        <s v="Komal Chavan"/>
        <s v="Yash Tiwari"/>
        <s v="Sakshi Reddy"/>
        <s v="Mohit Arora"/>
        <s v="Tanya Bose"/>
        <s v="Deepak Pillai"/>
        <s v="Avni Trivedi"/>
        <s v="Abhishek Ghosh"/>
        <s v="Nisha Shetty"/>
        <s v="Varsha Patil"/>
        <s v="Kabir Anand"/>
        <s v="Reema Thomas"/>
        <s v="Pranav More"/>
        <s v="Sonal Bhatia"/>
        <s v="Kunal Sethi"/>
        <s v="Ira Mukherjee"/>
        <s v="Omkar Jadhav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1.75562384259" createdVersion="8" refreshedVersion="8" minRefreshableVersion="3" recordCount="50" xr:uid="{4374A0A2-1840-4398-9B36-AADE72919A31}">
  <cacheSource type="worksheet">
    <worksheetSource ref="A1:D51" sheet="DERIVED TABLE 1"/>
  </cacheSource>
  <cacheFields count="4">
    <cacheField name="CUSTOMER_ID" numFmtId="0">
      <sharedItems containsSemiMixedTypes="0" containsString="0" containsNumber="1" containsInteger="1" minValue="101" maxValue="150"/>
    </cacheField>
    <cacheField name="PRODUCT_CATEGORY" numFmtId="0">
      <sharedItems count="3">
        <s v="Technology"/>
        <s v="Furniture"/>
        <s v="Office Supplies"/>
      </sharedItems>
    </cacheField>
    <cacheField name="REGION" numFmtId="0">
      <sharedItems count="4">
        <s v="North"/>
        <s v="West"/>
        <s v="South"/>
        <s v="East"/>
      </sharedItems>
    </cacheField>
    <cacheField name="PROFIT" numFmtId="0">
      <sharedItems containsSemiMixedTypes="0" containsString="0" containsNumber="1" containsInteger="1" minValue="35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x v="0"/>
    <x v="0"/>
    <n v="15000"/>
  </r>
  <r>
    <n v="102"/>
    <x v="1"/>
    <x v="1"/>
    <n v="8500"/>
  </r>
  <r>
    <n v="103"/>
    <x v="2"/>
    <x v="2"/>
    <n v="2500"/>
  </r>
  <r>
    <n v="104"/>
    <x v="3"/>
    <x v="0"/>
    <n v="22000"/>
  </r>
  <r>
    <n v="105"/>
    <x v="0"/>
    <x v="1"/>
    <n v="12000"/>
  </r>
  <r>
    <n v="106"/>
    <x v="1"/>
    <x v="0"/>
    <n v="1800"/>
  </r>
  <r>
    <n v="107"/>
    <x v="2"/>
    <x v="2"/>
    <n v="18500"/>
  </r>
  <r>
    <n v="108"/>
    <x v="3"/>
    <x v="1"/>
    <n v="9500"/>
  </r>
  <r>
    <n v="109"/>
    <x v="0"/>
    <x v="0"/>
    <n v="3200"/>
  </r>
  <r>
    <n v="110"/>
    <x v="1"/>
    <x v="2"/>
    <n v="27500"/>
  </r>
  <r>
    <n v="111"/>
    <x v="2"/>
    <x v="1"/>
    <n v="14500"/>
  </r>
  <r>
    <n v="112"/>
    <x v="3"/>
    <x v="0"/>
    <n v="2100"/>
  </r>
  <r>
    <n v="113"/>
    <x v="0"/>
    <x v="2"/>
    <n v="32000"/>
  </r>
  <r>
    <n v="114"/>
    <x v="1"/>
    <x v="1"/>
    <n v="11000"/>
  </r>
  <r>
    <n v="115"/>
    <x v="2"/>
    <x v="0"/>
    <n v="4000"/>
  </r>
  <r>
    <n v="116"/>
    <x v="3"/>
    <x v="2"/>
    <n v="19500"/>
  </r>
  <r>
    <n v="117"/>
    <x v="0"/>
    <x v="1"/>
    <n v="16000"/>
  </r>
  <r>
    <n v="118"/>
    <x v="1"/>
    <x v="0"/>
    <n v="2800"/>
  </r>
  <r>
    <n v="119"/>
    <x v="2"/>
    <x v="2"/>
    <n v="24000"/>
  </r>
  <r>
    <n v="120"/>
    <x v="3"/>
    <x v="1"/>
    <n v="13500"/>
  </r>
  <r>
    <n v="121"/>
    <x v="0"/>
    <x v="0"/>
    <n v="3500"/>
  </r>
  <r>
    <n v="122"/>
    <x v="1"/>
    <x v="2"/>
    <n v="29000"/>
  </r>
  <r>
    <n v="123"/>
    <x v="2"/>
    <x v="1"/>
    <n v="10500"/>
  </r>
  <r>
    <n v="124"/>
    <x v="3"/>
    <x v="0"/>
    <n v="2200"/>
  </r>
  <r>
    <n v="125"/>
    <x v="0"/>
    <x v="2"/>
    <n v="35000"/>
  </r>
  <r>
    <n v="126"/>
    <x v="1"/>
    <x v="1"/>
    <n v="17500"/>
  </r>
  <r>
    <n v="127"/>
    <x v="2"/>
    <x v="0"/>
    <n v="3000"/>
  </r>
  <r>
    <n v="128"/>
    <x v="3"/>
    <x v="2"/>
    <n v="21000"/>
  </r>
  <r>
    <n v="129"/>
    <x v="0"/>
    <x v="1"/>
    <n v="12500"/>
  </r>
  <r>
    <n v="130"/>
    <x v="1"/>
    <x v="0"/>
    <n v="4500"/>
  </r>
  <r>
    <n v="131"/>
    <x v="2"/>
    <x v="2"/>
    <n v="26000"/>
  </r>
  <r>
    <n v="132"/>
    <x v="3"/>
    <x v="1"/>
    <n v="15500"/>
  </r>
  <r>
    <n v="133"/>
    <x v="0"/>
    <x v="0"/>
    <n v="1900"/>
  </r>
  <r>
    <n v="134"/>
    <x v="1"/>
    <x v="2"/>
    <n v="31000"/>
  </r>
  <r>
    <n v="135"/>
    <x v="2"/>
    <x v="1"/>
    <n v="9000"/>
  </r>
  <r>
    <n v="136"/>
    <x v="3"/>
    <x v="0"/>
    <n v="2700"/>
  </r>
  <r>
    <n v="137"/>
    <x v="0"/>
    <x v="2"/>
    <n v="23000"/>
  </r>
  <r>
    <n v="138"/>
    <x v="1"/>
    <x v="1"/>
    <n v="14000"/>
  </r>
  <r>
    <n v="139"/>
    <x v="2"/>
    <x v="0"/>
    <n v="3800"/>
  </r>
  <r>
    <n v="140"/>
    <x v="3"/>
    <x v="2"/>
    <n v="28000"/>
  </r>
  <r>
    <n v="141"/>
    <x v="0"/>
    <x v="1"/>
    <n v="13000"/>
  </r>
  <r>
    <n v="142"/>
    <x v="1"/>
    <x v="0"/>
    <n v="2400"/>
  </r>
  <r>
    <n v="143"/>
    <x v="2"/>
    <x v="2"/>
    <n v="34000"/>
  </r>
  <r>
    <n v="144"/>
    <x v="3"/>
    <x v="1"/>
    <n v="16500"/>
  </r>
  <r>
    <n v="145"/>
    <x v="0"/>
    <x v="0"/>
    <n v="3100"/>
  </r>
  <r>
    <n v="146"/>
    <x v="1"/>
    <x v="2"/>
    <n v="20000"/>
  </r>
  <r>
    <n v="147"/>
    <x v="2"/>
    <x v="1"/>
    <n v="11500"/>
  </r>
  <r>
    <n v="148"/>
    <x v="3"/>
    <x v="0"/>
    <n v="4200"/>
  </r>
  <r>
    <n v="149"/>
    <x v="0"/>
    <x v="2"/>
    <n v="25000"/>
  </r>
  <r>
    <n v="150"/>
    <x v="1"/>
    <x v="1"/>
    <n v="1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n v="101"/>
    <s v="Technology"/>
    <n v="15000"/>
    <n v="2"/>
    <n v="3000"/>
    <n v="0.1"/>
  </r>
  <r>
    <n v="2"/>
    <x v="1"/>
    <n v="102"/>
    <s v="Furniture"/>
    <n v="8500"/>
    <n v="1"/>
    <n v="1200"/>
    <n v="0.05"/>
  </r>
  <r>
    <n v="3"/>
    <x v="2"/>
    <n v="103"/>
    <s v="Office Supplies"/>
    <n v="2500"/>
    <n v="5"/>
    <n v="500"/>
    <n v="0"/>
  </r>
  <r>
    <n v="4"/>
    <x v="3"/>
    <n v="104"/>
    <s v="Technology"/>
    <n v="22000"/>
    <n v="3"/>
    <n v="4500"/>
    <n v="0.15"/>
  </r>
  <r>
    <n v="5"/>
    <x v="4"/>
    <n v="105"/>
    <s v="Furniture"/>
    <n v="12000"/>
    <n v="2"/>
    <n v="1800"/>
    <n v="0.1"/>
  </r>
  <r>
    <n v="6"/>
    <x v="5"/>
    <n v="106"/>
    <s v="Office Supplies"/>
    <n v="1800"/>
    <n v="4"/>
    <n v="350"/>
    <n v="0.05"/>
  </r>
  <r>
    <n v="7"/>
    <x v="6"/>
    <n v="107"/>
    <s v="Technology"/>
    <n v="18500"/>
    <n v="2"/>
    <n v="4000"/>
    <n v="0.1"/>
  </r>
  <r>
    <n v="8"/>
    <x v="7"/>
    <n v="108"/>
    <s v="Furniture"/>
    <n v="9500"/>
    <n v="1"/>
    <n v="1400"/>
    <n v="0"/>
  </r>
  <r>
    <n v="9"/>
    <x v="8"/>
    <n v="109"/>
    <s v="Office Supplies"/>
    <n v="3200"/>
    <n v="6"/>
    <n v="650"/>
    <n v="0.05"/>
  </r>
  <r>
    <n v="10"/>
    <x v="9"/>
    <n v="110"/>
    <s v="Technology"/>
    <n v="27500"/>
    <n v="4"/>
    <n v="5500"/>
    <n v="0.15"/>
  </r>
  <r>
    <n v="11"/>
    <x v="10"/>
    <n v="111"/>
    <s v="Furniture"/>
    <n v="14500"/>
    <n v="3"/>
    <n v="2200"/>
    <n v="0.1"/>
  </r>
  <r>
    <n v="12"/>
    <x v="11"/>
    <n v="112"/>
    <s v="Office Supplies"/>
    <n v="2100"/>
    <n v="3"/>
    <n v="420"/>
    <n v="0"/>
  </r>
  <r>
    <n v="13"/>
    <x v="12"/>
    <n v="113"/>
    <s v="Technology"/>
    <n v="32000"/>
    <n v="5"/>
    <n v="7000"/>
    <n v="0.2"/>
  </r>
  <r>
    <n v="14"/>
    <x v="13"/>
    <n v="114"/>
    <s v="Furniture"/>
    <n v="11000"/>
    <n v="2"/>
    <n v="1600"/>
    <n v="0.05"/>
  </r>
  <r>
    <n v="15"/>
    <x v="14"/>
    <n v="115"/>
    <s v="Office Supplies"/>
    <n v="4000"/>
    <n v="8"/>
    <n v="800"/>
    <n v="0.1"/>
  </r>
  <r>
    <n v="16"/>
    <x v="15"/>
    <n v="116"/>
    <s v="Technology"/>
    <n v="19500"/>
    <n v="2"/>
    <n v="4200"/>
    <n v="0.1"/>
  </r>
  <r>
    <n v="17"/>
    <x v="16"/>
    <n v="117"/>
    <s v="Furniture"/>
    <n v="16000"/>
    <n v="3"/>
    <n v="2500"/>
    <n v="0.15"/>
  </r>
  <r>
    <n v="18"/>
    <x v="17"/>
    <n v="118"/>
    <s v="Office Supplies"/>
    <n v="2800"/>
    <n v="5"/>
    <n v="550"/>
    <n v="0.05"/>
  </r>
  <r>
    <n v="19"/>
    <x v="18"/>
    <n v="119"/>
    <s v="Technology"/>
    <n v="24000"/>
    <n v="3"/>
    <n v="5000"/>
    <n v="0.1"/>
  </r>
  <r>
    <n v="20"/>
    <x v="19"/>
    <n v="120"/>
    <s v="Furniture"/>
    <n v="13500"/>
    <n v="2"/>
    <n v="2000"/>
    <n v="0.1"/>
  </r>
  <r>
    <n v="21"/>
    <x v="20"/>
    <n v="121"/>
    <s v="Office Supplies"/>
    <n v="3500"/>
    <n v="7"/>
    <n v="700"/>
    <n v="0.05"/>
  </r>
  <r>
    <n v="22"/>
    <x v="21"/>
    <n v="122"/>
    <s v="Technology"/>
    <n v="29000"/>
    <n v="4"/>
    <n v="6200"/>
    <n v="0.15"/>
  </r>
  <r>
    <n v="23"/>
    <x v="22"/>
    <n v="123"/>
    <s v="Furniture"/>
    <n v="10500"/>
    <n v="2"/>
    <n v="1500"/>
    <n v="0"/>
  </r>
  <r>
    <n v="24"/>
    <x v="23"/>
    <n v="124"/>
    <s v="Office Supplies"/>
    <n v="2200"/>
    <n v="4"/>
    <n v="400"/>
    <n v="0.05"/>
  </r>
  <r>
    <n v="25"/>
    <x v="24"/>
    <n v="125"/>
    <s v="Technology"/>
    <n v="35000"/>
    <n v="5"/>
    <n v="8000"/>
    <n v="0.2"/>
  </r>
  <r>
    <n v="26"/>
    <x v="25"/>
    <n v="126"/>
    <s v="Furniture"/>
    <n v="17500"/>
    <n v="3"/>
    <n v="2800"/>
    <n v="0.15"/>
  </r>
  <r>
    <n v="27"/>
    <x v="26"/>
    <n v="127"/>
    <s v="Office Supplies"/>
    <n v="3000"/>
    <n v="6"/>
    <n v="600"/>
    <n v="0.05"/>
  </r>
  <r>
    <n v="28"/>
    <x v="27"/>
    <n v="128"/>
    <s v="Technology"/>
    <n v="21000"/>
    <n v="3"/>
    <n v="4500"/>
    <n v="0.1"/>
  </r>
  <r>
    <n v="29"/>
    <x v="28"/>
    <n v="129"/>
    <s v="Furniture"/>
    <n v="12500"/>
    <n v="2"/>
    <n v="1900"/>
    <n v="0.05"/>
  </r>
  <r>
    <n v="30"/>
    <x v="29"/>
    <n v="130"/>
    <s v="Office Supplies"/>
    <n v="4500"/>
    <n v="9"/>
    <n v="900"/>
    <n v="0.1"/>
  </r>
  <r>
    <n v="31"/>
    <x v="30"/>
    <n v="131"/>
    <s v="Technology"/>
    <n v="26000"/>
    <n v="4"/>
    <n v="5500"/>
    <n v="0.15"/>
  </r>
  <r>
    <n v="32"/>
    <x v="31"/>
    <n v="132"/>
    <s v="Furniture"/>
    <n v="15500"/>
    <n v="3"/>
    <n v="2400"/>
    <n v="0.1"/>
  </r>
  <r>
    <n v="33"/>
    <x v="32"/>
    <n v="133"/>
    <s v="Office Supplies"/>
    <n v="1900"/>
    <n v="3"/>
    <n v="380"/>
    <n v="0"/>
  </r>
  <r>
    <n v="34"/>
    <x v="33"/>
    <n v="134"/>
    <s v="Technology"/>
    <n v="31000"/>
    <n v="5"/>
    <n v="6800"/>
    <n v="0.2"/>
  </r>
  <r>
    <n v="35"/>
    <x v="34"/>
    <n v="135"/>
    <s v="Furniture"/>
    <n v="9000"/>
    <n v="1"/>
    <n v="1300"/>
    <n v="0.05"/>
  </r>
  <r>
    <n v="36"/>
    <x v="35"/>
    <n v="136"/>
    <s v="Office Supplies"/>
    <n v="2700"/>
    <n v="5"/>
    <n v="520"/>
    <n v="0.05"/>
  </r>
  <r>
    <n v="37"/>
    <x v="36"/>
    <n v="137"/>
    <s v="Technology"/>
    <n v="23000"/>
    <n v="3"/>
    <n v="4800"/>
    <n v="0.1"/>
  </r>
  <r>
    <n v="38"/>
    <x v="37"/>
    <n v="138"/>
    <s v="Furniture"/>
    <n v="14000"/>
    <n v="2"/>
    <n v="2100"/>
    <n v="0.1"/>
  </r>
  <r>
    <n v="39"/>
    <x v="38"/>
    <n v="139"/>
    <s v="Office Supplies"/>
    <n v="3800"/>
    <n v="7"/>
    <n v="750"/>
    <n v="0.05"/>
  </r>
  <r>
    <n v="40"/>
    <x v="39"/>
    <n v="140"/>
    <s v="Technology"/>
    <n v="28000"/>
    <n v="4"/>
    <n v="6000"/>
    <n v="0.15"/>
  </r>
  <r>
    <n v="41"/>
    <x v="40"/>
    <n v="141"/>
    <s v="Furniture"/>
    <n v="13000"/>
    <n v="2"/>
    <n v="1950"/>
    <n v="0.05"/>
  </r>
  <r>
    <n v="42"/>
    <x v="41"/>
    <n v="142"/>
    <s v="Office Supplies"/>
    <n v="2400"/>
    <n v="4"/>
    <n v="450"/>
    <n v="0"/>
  </r>
  <r>
    <n v="43"/>
    <x v="42"/>
    <n v="143"/>
    <s v="Technology"/>
    <n v="34000"/>
    <n v="5"/>
    <n v="7500"/>
    <n v="0.2"/>
  </r>
  <r>
    <n v="44"/>
    <x v="43"/>
    <n v="144"/>
    <s v="Furniture"/>
    <n v="16500"/>
    <n v="3"/>
    <n v="2600"/>
    <n v="0.15"/>
  </r>
  <r>
    <n v="45"/>
    <x v="44"/>
    <n v="145"/>
    <s v="Office Supplies"/>
    <n v="3100"/>
    <n v="6"/>
    <n v="620"/>
    <n v="0.05"/>
  </r>
  <r>
    <n v="46"/>
    <x v="45"/>
    <n v="146"/>
    <s v="Technology"/>
    <n v="20000"/>
    <n v="2"/>
    <n v="4300"/>
    <n v="0.1"/>
  </r>
  <r>
    <n v="47"/>
    <x v="46"/>
    <n v="147"/>
    <s v="Furniture"/>
    <n v="11500"/>
    <n v="2"/>
    <n v="1700"/>
    <n v="0.05"/>
  </r>
  <r>
    <n v="48"/>
    <x v="47"/>
    <n v="148"/>
    <s v="Office Supplies"/>
    <n v="4200"/>
    <n v="8"/>
    <n v="850"/>
    <n v="0.1"/>
  </r>
  <r>
    <n v="49"/>
    <x v="48"/>
    <n v="149"/>
    <s v="Technology"/>
    <n v="25000"/>
    <n v="3"/>
    <n v="5200"/>
    <n v="0.1"/>
  </r>
  <r>
    <n v="50"/>
    <x v="49"/>
    <n v="150"/>
    <s v="Furniture"/>
    <n v="18000"/>
    <n v="4"/>
    <n v="3000"/>
    <n v="0.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01"/>
    <s v="North"/>
    <s v="Consumer"/>
    <x v="0"/>
    <x v="0"/>
  </r>
  <r>
    <n v="102"/>
    <s v="West"/>
    <s v="Corporate"/>
    <x v="1"/>
    <x v="1"/>
  </r>
  <r>
    <n v="103"/>
    <s v="South"/>
    <s v="Small Business"/>
    <x v="2"/>
    <x v="2"/>
  </r>
  <r>
    <n v="104"/>
    <s v="East"/>
    <s v="Consumer"/>
    <x v="3"/>
    <x v="3"/>
  </r>
  <r>
    <n v="105"/>
    <s v="North"/>
    <s v="Corporate"/>
    <x v="4"/>
    <x v="4"/>
  </r>
  <r>
    <n v="106"/>
    <s v="West"/>
    <s v="Consumer"/>
    <x v="5"/>
    <x v="5"/>
  </r>
  <r>
    <n v="107"/>
    <s v="South"/>
    <s v="Small Business"/>
    <x v="6"/>
    <x v="6"/>
  </r>
  <r>
    <n v="108"/>
    <s v="East"/>
    <s v="Corporate"/>
    <x v="7"/>
    <x v="7"/>
  </r>
  <r>
    <n v="109"/>
    <s v="North"/>
    <s v="Consumer"/>
    <x v="8"/>
    <x v="8"/>
  </r>
  <r>
    <n v="110"/>
    <s v="West"/>
    <s v="Small Business"/>
    <x v="9"/>
    <x v="9"/>
  </r>
  <r>
    <n v="111"/>
    <s v="South"/>
    <s v="Corporate"/>
    <x v="10"/>
    <x v="10"/>
  </r>
  <r>
    <n v="112"/>
    <s v="East"/>
    <s v="Consumer"/>
    <x v="11"/>
    <x v="11"/>
  </r>
  <r>
    <n v="113"/>
    <s v="North"/>
    <s v="Small Business"/>
    <x v="12"/>
    <x v="12"/>
  </r>
  <r>
    <n v="114"/>
    <s v="West"/>
    <s v="Corporate"/>
    <x v="13"/>
    <x v="13"/>
  </r>
  <r>
    <n v="115"/>
    <s v="South"/>
    <s v="Consumer"/>
    <x v="14"/>
    <x v="14"/>
  </r>
  <r>
    <n v="116"/>
    <s v="East"/>
    <s v="Small Business"/>
    <x v="15"/>
    <x v="15"/>
  </r>
  <r>
    <n v="117"/>
    <s v="North"/>
    <s v="Corporate"/>
    <x v="16"/>
    <x v="16"/>
  </r>
  <r>
    <n v="118"/>
    <s v="West"/>
    <s v="Consumer"/>
    <x v="17"/>
    <x v="17"/>
  </r>
  <r>
    <n v="119"/>
    <s v="South"/>
    <s v="Small Business"/>
    <x v="18"/>
    <x v="18"/>
  </r>
  <r>
    <n v="120"/>
    <s v="East"/>
    <s v="Corporate"/>
    <x v="19"/>
    <x v="19"/>
  </r>
  <r>
    <n v="121"/>
    <s v="North"/>
    <s v="Consumer"/>
    <x v="20"/>
    <x v="20"/>
  </r>
  <r>
    <n v="122"/>
    <s v="West"/>
    <s v="Small Business"/>
    <x v="21"/>
    <x v="21"/>
  </r>
  <r>
    <n v="123"/>
    <s v="South"/>
    <s v="Corporate"/>
    <x v="22"/>
    <x v="22"/>
  </r>
  <r>
    <n v="124"/>
    <s v="East"/>
    <s v="Consumer"/>
    <x v="23"/>
    <x v="23"/>
  </r>
  <r>
    <n v="125"/>
    <s v="North"/>
    <s v="Small Business"/>
    <x v="24"/>
    <x v="24"/>
  </r>
  <r>
    <n v="126"/>
    <s v="West"/>
    <s v="Corporate"/>
    <x v="25"/>
    <x v="25"/>
  </r>
  <r>
    <n v="127"/>
    <s v="South"/>
    <s v="Consumer"/>
    <x v="26"/>
    <x v="26"/>
  </r>
  <r>
    <n v="128"/>
    <s v="East"/>
    <s v="Small Business"/>
    <x v="27"/>
    <x v="27"/>
  </r>
  <r>
    <n v="129"/>
    <s v="North"/>
    <s v="Corporate"/>
    <x v="28"/>
    <x v="28"/>
  </r>
  <r>
    <n v="130"/>
    <s v="West"/>
    <s v="Consumer"/>
    <x v="29"/>
    <x v="29"/>
  </r>
  <r>
    <n v="131"/>
    <s v="South"/>
    <s v="Small Business"/>
    <x v="30"/>
    <x v="30"/>
  </r>
  <r>
    <n v="132"/>
    <s v="East"/>
    <s v="Corporate"/>
    <x v="31"/>
    <x v="31"/>
  </r>
  <r>
    <n v="133"/>
    <s v="North"/>
    <s v="Consumer"/>
    <x v="32"/>
    <x v="32"/>
  </r>
  <r>
    <n v="134"/>
    <s v="West"/>
    <s v="Small Business"/>
    <x v="33"/>
    <x v="33"/>
  </r>
  <r>
    <n v="135"/>
    <s v="South"/>
    <s v="Corporate"/>
    <x v="34"/>
    <x v="34"/>
  </r>
  <r>
    <n v="136"/>
    <s v="East"/>
    <s v="Consumer"/>
    <x v="35"/>
    <x v="35"/>
  </r>
  <r>
    <n v="137"/>
    <s v="North"/>
    <s v="Small Business"/>
    <x v="36"/>
    <x v="36"/>
  </r>
  <r>
    <n v="138"/>
    <s v="West"/>
    <s v="Corporate"/>
    <x v="37"/>
    <x v="37"/>
  </r>
  <r>
    <n v="139"/>
    <s v="South"/>
    <s v="Consumer"/>
    <x v="38"/>
    <x v="38"/>
  </r>
  <r>
    <n v="140"/>
    <s v="East"/>
    <s v="Small Business"/>
    <x v="39"/>
    <x v="39"/>
  </r>
  <r>
    <n v="141"/>
    <s v="North"/>
    <s v="Corporate"/>
    <x v="40"/>
    <x v="40"/>
  </r>
  <r>
    <n v="142"/>
    <s v="West"/>
    <s v="Consumer"/>
    <x v="41"/>
    <x v="41"/>
  </r>
  <r>
    <n v="143"/>
    <s v="South"/>
    <s v="Small Business"/>
    <x v="42"/>
    <x v="42"/>
  </r>
  <r>
    <n v="144"/>
    <s v="East"/>
    <s v="Corporate"/>
    <x v="43"/>
    <x v="43"/>
  </r>
  <r>
    <n v="145"/>
    <s v="North"/>
    <s v="Consumer"/>
    <x v="44"/>
    <x v="44"/>
  </r>
  <r>
    <n v="146"/>
    <s v="West"/>
    <s v="Small Business"/>
    <x v="45"/>
    <x v="45"/>
  </r>
  <r>
    <n v="147"/>
    <s v="South"/>
    <s v="Corporate"/>
    <x v="46"/>
    <x v="46"/>
  </r>
  <r>
    <n v="148"/>
    <s v="East"/>
    <s v="Consumer"/>
    <x v="47"/>
    <x v="47"/>
  </r>
  <r>
    <n v="149"/>
    <s v="North"/>
    <s v="Small Business"/>
    <x v="48"/>
    <x v="48"/>
  </r>
  <r>
    <n v="150"/>
    <s v="West"/>
    <s v="Corporate"/>
    <x v="49"/>
    <x v="49"/>
  </r>
  <r>
    <m/>
    <m/>
    <m/>
    <x v="50"/>
    <x v="5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x v="0"/>
    <x v="0"/>
    <n v="3000"/>
  </r>
  <r>
    <n v="102"/>
    <x v="1"/>
    <x v="1"/>
    <n v="1200"/>
  </r>
  <r>
    <n v="103"/>
    <x v="2"/>
    <x v="2"/>
    <n v="500"/>
  </r>
  <r>
    <n v="104"/>
    <x v="0"/>
    <x v="3"/>
    <n v="4500"/>
  </r>
  <r>
    <n v="105"/>
    <x v="1"/>
    <x v="0"/>
    <n v="1800"/>
  </r>
  <r>
    <n v="106"/>
    <x v="2"/>
    <x v="1"/>
    <n v="350"/>
  </r>
  <r>
    <n v="107"/>
    <x v="0"/>
    <x v="2"/>
    <n v="4000"/>
  </r>
  <r>
    <n v="108"/>
    <x v="1"/>
    <x v="3"/>
    <n v="1400"/>
  </r>
  <r>
    <n v="109"/>
    <x v="2"/>
    <x v="0"/>
    <n v="650"/>
  </r>
  <r>
    <n v="110"/>
    <x v="0"/>
    <x v="1"/>
    <n v="5500"/>
  </r>
  <r>
    <n v="111"/>
    <x v="1"/>
    <x v="2"/>
    <n v="2200"/>
  </r>
  <r>
    <n v="112"/>
    <x v="2"/>
    <x v="3"/>
    <n v="420"/>
  </r>
  <r>
    <n v="113"/>
    <x v="0"/>
    <x v="0"/>
    <n v="7000"/>
  </r>
  <r>
    <n v="114"/>
    <x v="1"/>
    <x v="1"/>
    <n v="1600"/>
  </r>
  <r>
    <n v="115"/>
    <x v="2"/>
    <x v="2"/>
    <n v="800"/>
  </r>
  <r>
    <n v="116"/>
    <x v="0"/>
    <x v="3"/>
    <n v="4200"/>
  </r>
  <r>
    <n v="117"/>
    <x v="1"/>
    <x v="0"/>
    <n v="2500"/>
  </r>
  <r>
    <n v="118"/>
    <x v="2"/>
    <x v="1"/>
    <n v="550"/>
  </r>
  <r>
    <n v="119"/>
    <x v="0"/>
    <x v="2"/>
    <n v="5000"/>
  </r>
  <r>
    <n v="120"/>
    <x v="1"/>
    <x v="3"/>
    <n v="2000"/>
  </r>
  <r>
    <n v="121"/>
    <x v="2"/>
    <x v="0"/>
    <n v="700"/>
  </r>
  <r>
    <n v="122"/>
    <x v="0"/>
    <x v="1"/>
    <n v="6200"/>
  </r>
  <r>
    <n v="123"/>
    <x v="1"/>
    <x v="2"/>
    <n v="1500"/>
  </r>
  <r>
    <n v="124"/>
    <x v="2"/>
    <x v="3"/>
    <n v="400"/>
  </r>
  <r>
    <n v="125"/>
    <x v="0"/>
    <x v="0"/>
    <n v="8000"/>
  </r>
  <r>
    <n v="126"/>
    <x v="1"/>
    <x v="1"/>
    <n v="2800"/>
  </r>
  <r>
    <n v="127"/>
    <x v="2"/>
    <x v="2"/>
    <n v="600"/>
  </r>
  <r>
    <n v="128"/>
    <x v="0"/>
    <x v="3"/>
    <n v="4500"/>
  </r>
  <r>
    <n v="129"/>
    <x v="1"/>
    <x v="0"/>
    <n v="1900"/>
  </r>
  <r>
    <n v="130"/>
    <x v="2"/>
    <x v="1"/>
    <n v="900"/>
  </r>
  <r>
    <n v="131"/>
    <x v="0"/>
    <x v="2"/>
    <n v="5500"/>
  </r>
  <r>
    <n v="132"/>
    <x v="1"/>
    <x v="3"/>
    <n v="2400"/>
  </r>
  <r>
    <n v="133"/>
    <x v="2"/>
    <x v="0"/>
    <n v="380"/>
  </r>
  <r>
    <n v="134"/>
    <x v="0"/>
    <x v="1"/>
    <n v="6800"/>
  </r>
  <r>
    <n v="135"/>
    <x v="1"/>
    <x v="2"/>
    <n v="1300"/>
  </r>
  <r>
    <n v="136"/>
    <x v="2"/>
    <x v="3"/>
    <n v="520"/>
  </r>
  <r>
    <n v="137"/>
    <x v="0"/>
    <x v="0"/>
    <n v="4800"/>
  </r>
  <r>
    <n v="138"/>
    <x v="1"/>
    <x v="1"/>
    <n v="2100"/>
  </r>
  <r>
    <n v="139"/>
    <x v="2"/>
    <x v="2"/>
    <n v="750"/>
  </r>
  <r>
    <n v="140"/>
    <x v="0"/>
    <x v="3"/>
    <n v="6000"/>
  </r>
  <r>
    <n v="141"/>
    <x v="1"/>
    <x v="0"/>
    <n v="1950"/>
  </r>
  <r>
    <n v="142"/>
    <x v="2"/>
    <x v="1"/>
    <n v="450"/>
  </r>
  <r>
    <n v="143"/>
    <x v="0"/>
    <x v="2"/>
    <n v="7500"/>
  </r>
  <r>
    <n v="144"/>
    <x v="1"/>
    <x v="3"/>
    <n v="2600"/>
  </r>
  <r>
    <n v="145"/>
    <x v="2"/>
    <x v="0"/>
    <n v="620"/>
  </r>
  <r>
    <n v="146"/>
    <x v="0"/>
    <x v="1"/>
    <n v="4300"/>
  </r>
  <r>
    <n v="147"/>
    <x v="1"/>
    <x v="2"/>
    <n v="1700"/>
  </r>
  <r>
    <n v="148"/>
    <x v="2"/>
    <x v="3"/>
    <n v="850"/>
  </r>
  <r>
    <n v="149"/>
    <x v="0"/>
    <x v="0"/>
    <n v="5200"/>
  </r>
  <r>
    <n v="150"/>
    <x v="1"/>
    <x v="1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75348-A05C-4B9B-9F97-37A4F1D92257}" name="PivotTable7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A13:E19" firstHeaderRow="1" firstDataRow="2" firstDataCol="1"/>
  <pivotFields count="4"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PROF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13811-F08C-43AE-8198-649732A4BFF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A28:B39" firstHeaderRow="1" firstDataRow="1" firstDataCol="1" rowPageCount="1" colPageCount="1"/>
  <pivotFields count="5">
    <pivotField showAll="0"/>
    <pivotField showAll="0"/>
    <pivotField showAll="0"/>
    <pivotField axis="axisPage" dataField="1" showAll="0">
      <items count="52">
        <item x="5"/>
        <item x="32"/>
        <item x="11"/>
        <item x="23"/>
        <item x="41"/>
        <item x="2"/>
        <item x="35"/>
        <item x="17"/>
        <item x="26"/>
        <item x="44"/>
        <item x="8"/>
        <item x="20"/>
        <item x="38"/>
        <item x="14"/>
        <item x="47"/>
        <item x="29"/>
        <item x="1"/>
        <item x="34"/>
        <item x="7"/>
        <item x="22"/>
        <item x="13"/>
        <item x="46"/>
        <item x="4"/>
        <item x="28"/>
        <item x="40"/>
        <item x="19"/>
        <item x="37"/>
        <item x="10"/>
        <item x="0"/>
        <item x="31"/>
        <item x="16"/>
        <item x="43"/>
        <item x="25"/>
        <item x="49"/>
        <item x="6"/>
        <item x="15"/>
        <item x="45"/>
        <item x="27"/>
        <item x="3"/>
        <item x="36"/>
        <item x="18"/>
        <item x="48"/>
        <item x="30"/>
        <item x="9"/>
        <item x="39"/>
        <item x="21"/>
        <item x="33"/>
        <item x="12"/>
        <item x="42"/>
        <item x="24"/>
        <item x="50"/>
        <item t="default"/>
      </items>
    </pivotField>
    <pivotField axis="axisRow" showAll="0" measureFilter="1" sortType="descending">
      <items count="52">
        <item x="50"/>
        <item x="34"/>
        <item x="8"/>
        <item x="16"/>
        <item x="42"/>
        <item x="37"/>
        <item x="21"/>
        <item x="46"/>
        <item x="3"/>
        <item x="19"/>
        <item x="14"/>
        <item x="23"/>
        <item x="26"/>
        <item x="35"/>
        <item x="6"/>
        <item x="17"/>
        <item x="44"/>
        <item x="32"/>
        <item x="2"/>
        <item x="1"/>
        <item x="45"/>
        <item x="11"/>
        <item x="49"/>
        <item x="41"/>
        <item x="20"/>
        <item x="13"/>
        <item x="29"/>
        <item x="36"/>
        <item x="15"/>
        <item x="31"/>
        <item x="22"/>
        <item x="47"/>
        <item x="33"/>
        <item x="7"/>
        <item x="12"/>
        <item x="43"/>
        <item x="9"/>
        <item x="48"/>
        <item x="28"/>
        <item x="27"/>
        <item x="24"/>
        <item x="38"/>
        <item x="39"/>
        <item x="4"/>
        <item x="5"/>
        <item x="18"/>
        <item x="30"/>
        <item x="25"/>
        <item x="10"/>
        <item x="4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1">
    <i>
      <x v="40"/>
    </i>
    <i>
      <x v="4"/>
    </i>
    <i>
      <x v="34"/>
    </i>
    <i>
      <x v="32"/>
    </i>
    <i>
      <x v="6"/>
    </i>
    <i>
      <x v="42"/>
    </i>
    <i>
      <x v="36"/>
    </i>
    <i>
      <x v="46"/>
    </i>
    <i>
      <x v="37"/>
    </i>
    <i>
      <x v="45"/>
    </i>
    <i t="grand">
      <x/>
    </i>
  </rowItems>
  <colItems count="1">
    <i/>
  </colItems>
  <pageFields count="1">
    <pageField fld="3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DE7E0-D58E-46D5-B5D6-699344EC2DD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22:B25" firstHeaderRow="1" firstDataRow="1" firstDataCol="1"/>
  <pivotFields count="10">
    <pivotField showAll="0"/>
    <pivotField axis="axisRow"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1"/>
  </rowFields>
  <rowItems count="3"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627C7-EB85-4E15-885E-E6F6F8C12CE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E9" firstHeaderRow="1" firstDataRow="2" firstDataCol="1"/>
  <pivotFields count="4">
    <pivotField showAll="0"/>
    <pivotField axis="axisRow" showAll="0">
      <items count="5">
        <item x="3"/>
        <item x="0"/>
        <item x="2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zoomScaleNormal="100" workbookViewId="0">
      <selection activeCell="J8" sqref="J8"/>
    </sheetView>
  </sheetViews>
  <sheetFormatPr defaultColWidth="11.54296875" defaultRowHeight="12.5" x14ac:dyDescent="0.25"/>
  <cols>
    <col min="1" max="1" width="10.7265625" customWidth="1"/>
    <col min="2" max="2" width="13.81640625" customWidth="1"/>
    <col min="3" max="3" width="14.6328125" customWidth="1"/>
    <col min="4" max="4" width="21.453125" customWidth="1"/>
    <col min="5" max="5" width="7.54296875" customWidth="1"/>
    <col min="6" max="6" width="10.7265625" customWidth="1"/>
    <col min="7" max="7" width="8.26953125" customWidth="1"/>
    <col min="8" max="8" width="10.9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46023</v>
      </c>
      <c r="C2">
        <v>101</v>
      </c>
      <c r="D2" t="s">
        <v>8</v>
      </c>
      <c r="E2">
        <v>15000</v>
      </c>
      <c r="F2">
        <v>2</v>
      </c>
      <c r="G2">
        <v>3000</v>
      </c>
      <c r="H2">
        <v>0.1</v>
      </c>
    </row>
    <row r="3" spans="1:8" x14ac:dyDescent="0.25">
      <c r="A3">
        <v>2</v>
      </c>
      <c r="B3" s="1">
        <v>46024</v>
      </c>
      <c r="C3">
        <v>102</v>
      </c>
      <c r="D3" t="s">
        <v>9</v>
      </c>
      <c r="E3">
        <v>8500</v>
      </c>
      <c r="F3">
        <v>1</v>
      </c>
      <c r="G3">
        <v>1200</v>
      </c>
      <c r="H3">
        <v>0.05</v>
      </c>
    </row>
    <row r="4" spans="1:8" x14ac:dyDescent="0.25">
      <c r="A4">
        <v>3</v>
      </c>
      <c r="B4" s="1">
        <v>46025</v>
      </c>
      <c r="C4">
        <v>103</v>
      </c>
      <c r="D4" t="s">
        <v>10</v>
      </c>
      <c r="E4">
        <v>2500</v>
      </c>
      <c r="F4">
        <v>5</v>
      </c>
      <c r="G4">
        <v>500</v>
      </c>
      <c r="H4">
        <v>0</v>
      </c>
    </row>
    <row r="5" spans="1:8" x14ac:dyDescent="0.25">
      <c r="A5">
        <v>4</v>
      </c>
      <c r="B5" s="1">
        <v>46026</v>
      </c>
      <c r="C5">
        <v>104</v>
      </c>
      <c r="D5" t="s">
        <v>8</v>
      </c>
      <c r="E5">
        <v>22000</v>
      </c>
      <c r="F5">
        <v>3</v>
      </c>
      <c r="G5">
        <v>4500</v>
      </c>
      <c r="H5">
        <v>0.15</v>
      </c>
    </row>
    <row r="6" spans="1:8" x14ac:dyDescent="0.25">
      <c r="A6">
        <v>5</v>
      </c>
      <c r="B6" s="1">
        <v>46027</v>
      </c>
      <c r="C6">
        <v>105</v>
      </c>
      <c r="D6" t="s">
        <v>9</v>
      </c>
      <c r="E6">
        <v>12000</v>
      </c>
      <c r="F6">
        <v>2</v>
      </c>
      <c r="G6">
        <v>1800</v>
      </c>
      <c r="H6">
        <v>0.1</v>
      </c>
    </row>
    <row r="7" spans="1:8" x14ac:dyDescent="0.25">
      <c r="A7">
        <v>6</v>
      </c>
      <c r="B7" s="1">
        <v>46028</v>
      </c>
      <c r="C7">
        <v>106</v>
      </c>
      <c r="D7" t="s">
        <v>10</v>
      </c>
      <c r="E7">
        <v>1800</v>
      </c>
      <c r="F7">
        <v>4</v>
      </c>
      <c r="G7">
        <v>350</v>
      </c>
      <c r="H7">
        <v>0.05</v>
      </c>
    </row>
    <row r="8" spans="1:8" x14ac:dyDescent="0.25">
      <c r="A8">
        <v>7</v>
      </c>
      <c r="B8" s="1">
        <v>46029</v>
      </c>
      <c r="C8">
        <v>107</v>
      </c>
      <c r="D8" t="s">
        <v>8</v>
      </c>
      <c r="E8">
        <v>18500</v>
      </c>
      <c r="F8">
        <v>2</v>
      </c>
      <c r="G8">
        <v>4000</v>
      </c>
      <c r="H8">
        <v>0.1</v>
      </c>
    </row>
    <row r="9" spans="1:8" x14ac:dyDescent="0.25">
      <c r="A9">
        <v>8</v>
      </c>
      <c r="B9" s="1">
        <v>46030</v>
      </c>
      <c r="C9">
        <v>108</v>
      </c>
      <c r="D9" t="s">
        <v>9</v>
      </c>
      <c r="E9">
        <v>9500</v>
      </c>
      <c r="F9">
        <v>1</v>
      </c>
      <c r="G9">
        <v>1400</v>
      </c>
      <c r="H9">
        <v>0</v>
      </c>
    </row>
    <row r="10" spans="1:8" x14ac:dyDescent="0.25">
      <c r="A10">
        <v>9</v>
      </c>
      <c r="B10" s="1">
        <v>46031</v>
      </c>
      <c r="C10">
        <v>109</v>
      </c>
      <c r="D10" t="s">
        <v>10</v>
      </c>
      <c r="E10">
        <v>3200</v>
      </c>
      <c r="F10">
        <v>6</v>
      </c>
      <c r="G10">
        <v>650</v>
      </c>
      <c r="H10">
        <v>0.05</v>
      </c>
    </row>
    <row r="11" spans="1:8" x14ac:dyDescent="0.25">
      <c r="A11">
        <v>10</v>
      </c>
      <c r="B11" s="1">
        <v>46032</v>
      </c>
      <c r="C11">
        <v>110</v>
      </c>
      <c r="D11" t="s">
        <v>8</v>
      </c>
      <c r="E11">
        <v>27500</v>
      </c>
      <c r="F11">
        <v>4</v>
      </c>
      <c r="G11">
        <v>5500</v>
      </c>
      <c r="H11">
        <v>0.15</v>
      </c>
    </row>
    <row r="12" spans="1:8" x14ac:dyDescent="0.25">
      <c r="A12">
        <v>11</v>
      </c>
      <c r="B12" s="1">
        <v>46033</v>
      </c>
      <c r="C12">
        <v>111</v>
      </c>
      <c r="D12" t="s">
        <v>9</v>
      </c>
      <c r="E12">
        <v>14500</v>
      </c>
      <c r="F12">
        <v>3</v>
      </c>
      <c r="G12">
        <v>2200</v>
      </c>
      <c r="H12">
        <v>0.1</v>
      </c>
    </row>
    <row r="13" spans="1:8" x14ac:dyDescent="0.25">
      <c r="A13">
        <v>12</v>
      </c>
      <c r="B13" s="1">
        <v>46034</v>
      </c>
      <c r="C13">
        <v>112</v>
      </c>
      <c r="D13" t="s">
        <v>10</v>
      </c>
      <c r="E13">
        <v>2100</v>
      </c>
      <c r="F13">
        <v>3</v>
      </c>
      <c r="G13">
        <v>420</v>
      </c>
      <c r="H13">
        <v>0</v>
      </c>
    </row>
    <row r="14" spans="1:8" x14ac:dyDescent="0.25">
      <c r="A14">
        <v>13</v>
      </c>
      <c r="B14" s="1">
        <v>46035</v>
      </c>
      <c r="C14">
        <v>113</v>
      </c>
      <c r="D14" t="s">
        <v>8</v>
      </c>
      <c r="E14">
        <v>32000</v>
      </c>
      <c r="F14">
        <v>5</v>
      </c>
      <c r="G14">
        <v>7000</v>
      </c>
      <c r="H14">
        <v>0.2</v>
      </c>
    </row>
    <row r="15" spans="1:8" x14ac:dyDescent="0.25">
      <c r="A15">
        <v>14</v>
      </c>
      <c r="B15" s="1">
        <v>46036</v>
      </c>
      <c r="C15">
        <v>114</v>
      </c>
      <c r="D15" t="s">
        <v>9</v>
      </c>
      <c r="E15">
        <v>11000</v>
      </c>
      <c r="F15">
        <v>2</v>
      </c>
      <c r="G15">
        <v>1600</v>
      </c>
      <c r="H15">
        <v>0.05</v>
      </c>
    </row>
    <row r="16" spans="1:8" x14ac:dyDescent="0.25">
      <c r="A16">
        <v>15</v>
      </c>
      <c r="B16" s="1">
        <v>46037</v>
      </c>
      <c r="C16">
        <v>115</v>
      </c>
      <c r="D16" t="s">
        <v>10</v>
      </c>
      <c r="E16">
        <v>4000</v>
      </c>
      <c r="F16">
        <v>8</v>
      </c>
      <c r="G16">
        <v>800</v>
      </c>
      <c r="H16">
        <v>0.1</v>
      </c>
    </row>
    <row r="17" spans="1:8" x14ac:dyDescent="0.25">
      <c r="A17">
        <v>16</v>
      </c>
      <c r="B17" s="1">
        <v>46038</v>
      </c>
      <c r="C17">
        <v>116</v>
      </c>
      <c r="D17" t="s">
        <v>8</v>
      </c>
      <c r="E17">
        <v>19500</v>
      </c>
      <c r="F17">
        <v>2</v>
      </c>
      <c r="G17">
        <v>4200</v>
      </c>
      <c r="H17">
        <v>0.1</v>
      </c>
    </row>
    <row r="18" spans="1:8" x14ac:dyDescent="0.25">
      <c r="A18">
        <v>17</v>
      </c>
      <c r="B18" s="1">
        <v>46039</v>
      </c>
      <c r="C18">
        <v>117</v>
      </c>
      <c r="D18" t="s">
        <v>9</v>
      </c>
      <c r="E18">
        <v>16000</v>
      </c>
      <c r="F18">
        <v>3</v>
      </c>
      <c r="G18">
        <v>2500</v>
      </c>
      <c r="H18">
        <v>0.15</v>
      </c>
    </row>
    <row r="19" spans="1:8" x14ac:dyDescent="0.25">
      <c r="A19">
        <v>18</v>
      </c>
      <c r="B19" s="1">
        <v>46040</v>
      </c>
      <c r="C19">
        <v>118</v>
      </c>
      <c r="D19" t="s">
        <v>10</v>
      </c>
      <c r="E19">
        <v>2800</v>
      </c>
      <c r="F19">
        <v>5</v>
      </c>
      <c r="G19">
        <v>550</v>
      </c>
      <c r="H19">
        <v>0.05</v>
      </c>
    </row>
    <row r="20" spans="1:8" x14ac:dyDescent="0.25">
      <c r="A20">
        <v>19</v>
      </c>
      <c r="B20" s="1">
        <v>46041</v>
      </c>
      <c r="C20">
        <v>119</v>
      </c>
      <c r="D20" t="s">
        <v>8</v>
      </c>
      <c r="E20">
        <v>24000</v>
      </c>
      <c r="F20">
        <v>3</v>
      </c>
      <c r="G20">
        <v>5000</v>
      </c>
      <c r="H20">
        <v>0.1</v>
      </c>
    </row>
    <row r="21" spans="1:8" x14ac:dyDescent="0.25">
      <c r="A21">
        <v>20</v>
      </c>
      <c r="B21" s="1">
        <v>46042</v>
      </c>
      <c r="C21">
        <v>120</v>
      </c>
      <c r="D21" t="s">
        <v>9</v>
      </c>
      <c r="E21">
        <v>13500</v>
      </c>
      <c r="F21">
        <v>2</v>
      </c>
      <c r="G21">
        <v>2000</v>
      </c>
      <c r="H21">
        <v>0.1</v>
      </c>
    </row>
    <row r="22" spans="1:8" x14ac:dyDescent="0.25">
      <c r="A22">
        <v>21</v>
      </c>
      <c r="B22" s="1">
        <v>46043</v>
      </c>
      <c r="C22">
        <v>121</v>
      </c>
      <c r="D22" t="s">
        <v>10</v>
      </c>
      <c r="E22">
        <v>3500</v>
      </c>
      <c r="F22">
        <v>7</v>
      </c>
      <c r="G22">
        <v>700</v>
      </c>
      <c r="H22">
        <v>0.05</v>
      </c>
    </row>
    <row r="23" spans="1:8" x14ac:dyDescent="0.25">
      <c r="A23">
        <v>22</v>
      </c>
      <c r="B23" s="1">
        <v>46044</v>
      </c>
      <c r="C23">
        <v>122</v>
      </c>
      <c r="D23" t="s">
        <v>8</v>
      </c>
      <c r="E23">
        <v>29000</v>
      </c>
      <c r="F23">
        <v>4</v>
      </c>
      <c r="G23">
        <v>6200</v>
      </c>
      <c r="H23">
        <v>0.15</v>
      </c>
    </row>
    <row r="24" spans="1:8" x14ac:dyDescent="0.25">
      <c r="A24">
        <v>23</v>
      </c>
      <c r="B24" s="1">
        <v>46045</v>
      </c>
      <c r="C24">
        <v>123</v>
      </c>
      <c r="D24" t="s">
        <v>9</v>
      </c>
      <c r="E24">
        <v>10500</v>
      </c>
      <c r="F24">
        <v>2</v>
      </c>
      <c r="G24">
        <v>1500</v>
      </c>
      <c r="H24">
        <v>0</v>
      </c>
    </row>
    <row r="25" spans="1:8" x14ac:dyDescent="0.25">
      <c r="A25">
        <v>24</v>
      </c>
      <c r="B25" s="1">
        <v>46046</v>
      </c>
      <c r="C25">
        <v>124</v>
      </c>
      <c r="D25" t="s">
        <v>10</v>
      </c>
      <c r="E25">
        <v>2200</v>
      </c>
      <c r="F25">
        <v>4</v>
      </c>
      <c r="G25">
        <v>400</v>
      </c>
      <c r="H25">
        <v>0.05</v>
      </c>
    </row>
    <row r="26" spans="1:8" x14ac:dyDescent="0.25">
      <c r="A26">
        <v>25</v>
      </c>
      <c r="B26" s="1">
        <v>46047</v>
      </c>
      <c r="C26">
        <v>125</v>
      </c>
      <c r="D26" t="s">
        <v>8</v>
      </c>
      <c r="E26">
        <v>35000</v>
      </c>
      <c r="F26">
        <v>5</v>
      </c>
      <c r="G26">
        <v>8000</v>
      </c>
      <c r="H26">
        <v>0.2</v>
      </c>
    </row>
    <row r="27" spans="1:8" x14ac:dyDescent="0.25">
      <c r="A27">
        <v>26</v>
      </c>
      <c r="B27" s="1">
        <v>46048</v>
      </c>
      <c r="C27">
        <v>126</v>
      </c>
      <c r="D27" t="s">
        <v>9</v>
      </c>
      <c r="E27">
        <v>17500</v>
      </c>
      <c r="F27">
        <v>3</v>
      </c>
      <c r="G27">
        <v>2800</v>
      </c>
      <c r="H27">
        <v>0.15</v>
      </c>
    </row>
    <row r="28" spans="1:8" x14ac:dyDescent="0.25">
      <c r="A28">
        <v>27</v>
      </c>
      <c r="B28" s="1">
        <v>46049</v>
      </c>
      <c r="C28">
        <v>127</v>
      </c>
      <c r="D28" t="s">
        <v>10</v>
      </c>
      <c r="E28">
        <v>3000</v>
      </c>
      <c r="F28">
        <v>6</v>
      </c>
      <c r="G28">
        <v>600</v>
      </c>
      <c r="H28">
        <v>0.05</v>
      </c>
    </row>
    <row r="29" spans="1:8" x14ac:dyDescent="0.25">
      <c r="A29">
        <v>28</v>
      </c>
      <c r="B29" s="1">
        <v>46050</v>
      </c>
      <c r="C29">
        <v>128</v>
      </c>
      <c r="D29" t="s">
        <v>8</v>
      </c>
      <c r="E29">
        <v>21000</v>
      </c>
      <c r="F29">
        <v>3</v>
      </c>
      <c r="G29">
        <v>4500</v>
      </c>
      <c r="H29">
        <v>0.1</v>
      </c>
    </row>
    <row r="30" spans="1:8" x14ac:dyDescent="0.25">
      <c r="A30">
        <v>29</v>
      </c>
      <c r="B30" s="1">
        <v>46051</v>
      </c>
      <c r="C30">
        <v>129</v>
      </c>
      <c r="D30" t="s">
        <v>9</v>
      </c>
      <c r="E30">
        <v>12500</v>
      </c>
      <c r="F30">
        <v>2</v>
      </c>
      <c r="G30">
        <v>1900</v>
      </c>
      <c r="H30">
        <v>0.05</v>
      </c>
    </row>
    <row r="31" spans="1:8" x14ac:dyDescent="0.25">
      <c r="A31">
        <v>30</v>
      </c>
      <c r="B31" s="1">
        <v>46052</v>
      </c>
      <c r="C31">
        <v>130</v>
      </c>
      <c r="D31" t="s">
        <v>10</v>
      </c>
      <c r="E31">
        <v>4500</v>
      </c>
      <c r="F31">
        <v>9</v>
      </c>
      <c r="G31">
        <v>900</v>
      </c>
      <c r="H31">
        <v>0.1</v>
      </c>
    </row>
    <row r="32" spans="1:8" x14ac:dyDescent="0.25">
      <c r="A32">
        <v>31</v>
      </c>
      <c r="B32" s="1">
        <v>46054</v>
      </c>
      <c r="C32">
        <v>131</v>
      </c>
      <c r="D32" t="s">
        <v>8</v>
      </c>
      <c r="E32">
        <v>26000</v>
      </c>
      <c r="F32">
        <v>4</v>
      </c>
      <c r="G32">
        <v>5500</v>
      </c>
      <c r="H32">
        <v>0.15</v>
      </c>
    </row>
    <row r="33" spans="1:8" x14ac:dyDescent="0.25">
      <c r="A33">
        <v>32</v>
      </c>
      <c r="B33" s="1">
        <v>46055</v>
      </c>
      <c r="C33">
        <v>132</v>
      </c>
      <c r="D33" t="s">
        <v>9</v>
      </c>
      <c r="E33">
        <v>15500</v>
      </c>
      <c r="F33">
        <v>3</v>
      </c>
      <c r="G33">
        <v>2400</v>
      </c>
      <c r="H33">
        <v>0.1</v>
      </c>
    </row>
    <row r="34" spans="1:8" x14ac:dyDescent="0.25">
      <c r="A34">
        <v>33</v>
      </c>
      <c r="B34" s="1">
        <v>46056</v>
      </c>
      <c r="C34">
        <v>133</v>
      </c>
      <c r="D34" t="s">
        <v>10</v>
      </c>
      <c r="E34">
        <v>1900</v>
      </c>
      <c r="F34">
        <v>3</v>
      </c>
      <c r="G34">
        <v>380</v>
      </c>
      <c r="H34">
        <v>0</v>
      </c>
    </row>
    <row r="35" spans="1:8" x14ac:dyDescent="0.25">
      <c r="A35">
        <v>34</v>
      </c>
      <c r="B35" s="1">
        <v>46057</v>
      </c>
      <c r="C35">
        <v>134</v>
      </c>
      <c r="D35" t="s">
        <v>8</v>
      </c>
      <c r="E35">
        <v>31000</v>
      </c>
      <c r="F35">
        <v>5</v>
      </c>
      <c r="G35">
        <v>6800</v>
      </c>
      <c r="H35">
        <v>0.2</v>
      </c>
    </row>
    <row r="36" spans="1:8" x14ac:dyDescent="0.25">
      <c r="A36">
        <v>35</v>
      </c>
      <c r="B36" s="1">
        <v>46058</v>
      </c>
      <c r="C36">
        <v>135</v>
      </c>
      <c r="D36" t="s">
        <v>9</v>
      </c>
      <c r="E36">
        <v>9000</v>
      </c>
      <c r="F36">
        <v>1</v>
      </c>
      <c r="G36">
        <v>1300</v>
      </c>
      <c r="H36">
        <v>0.05</v>
      </c>
    </row>
    <row r="37" spans="1:8" x14ac:dyDescent="0.25">
      <c r="A37">
        <v>36</v>
      </c>
      <c r="B37" s="1">
        <v>46059</v>
      </c>
      <c r="C37">
        <v>136</v>
      </c>
      <c r="D37" t="s">
        <v>10</v>
      </c>
      <c r="E37">
        <v>2700</v>
      </c>
      <c r="F37">
        <v>5</v>
      </c>
      <c r="G37">
        <v>520</v>
      </c>
      <c r="H37">
        <v>0.05</v>
      </c>
    </row>
    <row r="38" spans="1:8" x14ac:dyDescent="0.25">
      <c r="A38">
        <v>37</v>
      </c>
      <c r="B38" s="1">
        <v>46060</v>
      </c>
      <c r="C38">
        <v>137</v>
      </c>
      <c r="D38" t="s">
        <v>8</v>
      </c>
      <c r="E38">
        <v>23000</v>
      </c>
      <c r="F38">
        <v>3</v>
      </c>
      <c r="G38">
        <v>4800</v>
      </c>
      <c r="H38">
        <v>0.1</v>
      </c>
    </row>
    <row r="39" spans="1:8" x14ac:dyDescent="0.25">
      <c r="A39">
        <v>38</v>
      </c>
      <c r="B39" s="1">
        <v>46061</v>
      </c>
      <c r="C39">
        <v>138</v>
      </c>
      <c r="D39" t="s">
        <v>9</v>
      </c>
      <c r="E39">
        <v>14000</v>
      </c>
      <c r="F39">
        <v>2</v>
      </c>
      <c r="G39">
        <v>2100</v>
      </c>
      <c r="H39">
        <v>0.1</v>
      </c>
    </row>
    <row r="40" spans="1:8" x14ac:dyDescent="0.25">
      <c r="A40">
        <v>39</v>
      </c>
      <c r="B40" s="1">
        <v>46062</v>
      </c>
      <c r="C40">
        <v>139</v>
      </c>
      <c r="D40" t="s">
        <v>10</v>
      </c>
      <c r="E40">
        <v>3800</v>
      </c>
      <c r="F40">
        <v>7</v>
      </c>
      <c r="G40">
        <v>750</v>
      </c>
      <c r="H40">
        <v>0.05</v>
      </c>
    </row>
    <row r="41" spans="1:8" x14ac:dyDescent="0.25">
      <c r="A41">
        <v>40</v>
      </c>
      <c r="B41" s="1">
        <v>46063</v>
      </c>
      <c r="C41">
        <v>140</v>
      </c>
      <c r="D41" t="s">
        <v>8</v>
      </c>
      <c r="E41">
        <v>28000</v>
      </c>
      <c r="F41">
        <v>4</v>
      </c>
      <c r="G41">
        <v>6000</v>
      </c>
      <c r="H41">
        <v>0.15</v>
      </c>
    </row>
    <row r="42" spans="1:8" x14ac:dyDescent="0.25">
      <c r="A42">
        <v>41</v>
      </c>
      <c r="B42" s="1">
        <v>46064</v>
      </c>
      <c r="C42">
        <v>141</v>
      </c>
      <c r="D42" t="s">
        <v>9</v>
      </c>
      <c r="E42">
        <v>13000</v>
      </c>
      <c r="F42">
        <v>2</v>
      </c>
      <c r="G42">
        <v>1950</v>
      </c>
      <c r="H42">
        <v>0.05</v>
      </c>
    </row>
    <row r="43" spans="1:8" x14ac:dyDescent="0.25">
      <c r="A43">
        <v>42</v>
      </c>
      <c r="B43" s="1">
        <v>46065</v>
      </c>
      <c r="C43">
        <v>142</v>
      </c>
      <c r="D43" t="s">
        <v>10</v>
      </c>
      <c r="E43">
        <v>2400</v>
      </c>
      <c r="F43">
        <v>4</v>
      </c>
      <c r="G43">
        <v>450</v>
      </c>
      <c r="H43">
        <v>0</v>
      </c>
    </row>
    <row r="44" spans="1:8" x14ac:dyDescent="0.25">
      <c r="A44">
        <v>43</v>
      </c>
      <c r="B44" s="1">
        <v>46066</v>
      </c>
      <c r="C44">
        <v>143</v>
      </c>
      <c r="D44" t="s">
        <v>8</v>
      </c>
      <c r="E44">
        <v>34000</v>
      </c>
      <c r="F44">
        <v>5</v>
      </c>
      <c r="G44">
        <v>7500</v>
      </c>
      <c r="H44">
        <v>0.2</v>
      </c>
    </row>
    <row r="45" spans="1:8" x14ac:dyDescent="0.25">
      <c r="A45">
        <v>44</v>
      </c>
      <c r="B45" s="1">
        <v>46067</v>
      </c>
      <c r="C45">
        <v>144</v>
      </c>
      <c r="D45" t="s">
        <v>9</v>
      </c>
      <c r="E45">
        <v>16500</v>
      </c>
      <c r="F45">
        <v>3</v>
      </c>
      <c r="G45">
        <v>2600</v>
      </c>
      <c r="H45">
        <v>0.15</v>
      </c>
    </row>
    <row r="46" spans="1:8" x14ac:dyDescent="0.25">
      <c r="A46">
        <v>45</v>
      </c>
      <c r="B46" s="1">
        <v>46068</v>
      </c>
      <c r="C46">
        <v>145</v>
      </c>
      <c r="D46" t="s">
        <v>10</v>
      </c>
      <c r="E46">
        <v>3100</v>
      </c>
      <c r="F46">
        <v>6</v>
      </c>
      <c r="G46">
        <v>620</v>
      </c>
      <c r="H46">
        <v>0.05</v>
      </c>
    </row>
    <row r="47" spans="1:8" x14ac:dyDescent="0.25">
      <c r="A47">
        <v>46</v>
      </c>
      <c r="B47" s="1">
        <v>46069</v>
      </c>
      <c r="C47">
        <v>146</v>
      </c>
      <c r="D47" t="s">
        <v>8</v>
      </c>
      <c r="E47">
        <v>20000</v>
      </c>
      <c r="F47">
        <v>2</v>
      </c>
      <c r="G47">
        <v>4300</v>
      </c>
      <c r="H47">
        <v>0.1</v>
      </c>
    </row>
    <row r="48" spans="1:8" x14ac:dyDescent="0.25">
      <c r="A48">
        <v>47</v>
      </c>
      <c r="B48" s="1">
        <v>46070</v>
      </c>
      <c r="C48">
        <v>147</v>
      </c>
      <c r="D48" t="s">
        <v>9</v>
      </c>
      <c r="E48">
        <v>11500</v>
      </c>
      <c r="F48">
        <v>2</v>
      </c>
      <c r="G48">
        <v>1700</v>
      </c>
      <c r="H48">
        <v>0.05</v>
      </c>
    </row>
    <row r="49" spans="1:8" x14ac:dyDescent="0.25">
      <c r="A49">
        <v>48</v>
      </c>
      <c r="B49" s="1">
        <v>46071</v>
      </c>
      <c r="C49">
        <v>148</v>
      </c>
      <c r="D49" t="s">
        <v>10</v>
      </c>
      <c r="E49">
        <v>4200</v>
      </c>
      <c r="F49">
        <v>8</v>
      </c>
      <c r="G49">
        <v>850</v>
      </c>
      <c r="H49">
        <v>0.1</v>
      </c>
    </row>
    <row r="50" spans="1:8" x14ac:dyDescent="0.25">
      <c r="A50">
        <v>49</v>
      </c>
      <c r="B50" s="1">
        <v>46072</v>
      </c>
      <c r="C50">
        <v>149</v>
      </c>
      <c r="D50" t="s">
        <v>8</v>
      </c>
      <c r="E50">
        <v>25000</v>
      </c>
      <c r="F50">
        <v>3</v>
      </c>
      <c r="G50">
        <v>5200</v>
      </c>
      <c r="H50">
        <v>0.1</v>
      </c>
    </row>
    <row r="51" spans="1:8" x14ac:dyDescent="0.25">
      <c r="A51">
        <v>50</v>
      </c>
      <c r="B51" s="1">
        <v>46073</v>
      </c>
      <c r="C51">
        <v>150</v>
      </c>
      <c r="D51" t="s">
        <v>9</v>
      </c>
      <c r="E51">
        <v>18000</v>
      </c>
      <c r="F51">
        <v>4</v>
      </c>
      <c r="G51">
        <v>3000</v>
      </c>
      <c r="H51">
        <v>0.15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0C97-1010-404D-8291-F504FB63CA48}">
  <dimension ref="A1:D51"/>
  <sheetViews>
    <sheetView workbookViewId="0">
      <selection activeCell="B1" sqref="B1"/>
    </sheetView>
  </sheetViews>
  <sheetFormatPr defaultRowHeight="12.5" x14ac:dyDescent="0.25"/>
  <cols>
    <col min="1" max="1" width="13.90625" customWidth="1"/>
    <col min="2" max="2" width="16.7265625" customWidth="1"/>
    <col min="3" max="3" width="13.90625" customWidth="1"/>
    <col min="4" max="4" width="15" customWidth="1"/>
  </cols>
  <sheetData>
    <row r="1" spans="1:4" x14ac:dyDescent="0.25">
      <c r="A1" t="s">
        <v>2</v>
      </c>
      <c r="B1" t="s">
        <v>11</v>
      </c>
      <c r="C1" t="s">
        <v>12</v>
      </c>
      <c r="D1" t="s">
        <v>13</v>
      </c>
    </row>
    <row r="2" spans="1:4" x14ac:dyDescent="0.25">
      <c r="A2">
        <v>101</v>
      </c>
      <c r="B2" t="s">
        <v>14</v>
      </c>
      <c r="C2" t="s">
        <v>15</v>
      </c>
      <c r="D2" t="s">
        <v>16</v>
      </c>
    </row>
    <row r="3" spans="1:4" x14ac:dyDescent="0.25">
      <c r="A3">
        <v>102</v>
      </c>
      <c r="B3" t="s">
        <v>17</v>
      </c>
      <c r="C3" t="s">
        <v>18</v>
      </c>
      <c r="D3" t="s">
        <v>19</v>
      </c>
    </row>
    <row r="4" spans="1:4" x14ac:dyDescent="0.25">
      <c r="A4">
        <v>103</v>
      </c>
      <c r="B4" t="s">
        <v>20</v>
      </c>
      <c r="C4" t="s">
        <v>21</v>
      </c>
      <c r="D4" t="s">
        <v>22</v>
      </c>
    </row>
    <row r="5" spans="1:4" x14ac:dyDescent="0.25">
      <c r="A5">
        <v>104</v>
      </c>
      <c r="B5" t="s">
        <v>23</v>
      </c>
      <c r="C5" t="s">
        <v>24</v>
      </c>
      <c r="D5" t="s">
        <v>16</v>
      </c>
    </row>
    <row r="6" spans="1:4" x14ac:dyDescent="0.25">
      <c r="A6">
        <v>105</v>
      </c>
      <c r="B6" t="s">
        <v>25</v>
      </c>
      <c r="C6" t="s">
        <v>15</v>
      </c>
      <c r="D6" t="s">
        <v>19</v>
      </c>
    </row>
    <row r="7" spans="1:4" x14ac:dyDescent="0.25">
      <c r="A7">
        <v>106</v>
      </c>
      <c r="B7" t="s">
        <v>26</v>
      </c>
      <c r="C7" t="s">
        <v>18</v>
      </c>
      <c r="D7" t="s">
        <v>16</v>
      </c>
    </row>
    <row r="8" spans="1:4" x14ac:dyDescent="0.25">
      <c r="A8">
        <v>107</v>
      </c>
      <c r="B8" t="s">
        <v>27</v>
      </c>
      <c r="C8" t="s">
        <v>21</v>
      </c>
      <c r="D8" t="s">
        <v>22</v>
      </c>
    </row>
    <row r="9" spans="1:4" x14ac:dyDescent="0.25">
      <c r="A9">
        <v>108</v>
      </c>
      <c r="B9" t="s">
        <v>28</v>
      </c>
      <c r="C9" t="s">
        <v>24</v>
      </c>
      <c r="D9" t="s">
        <v>19</v>
      </c>
    </row>
    <row r="10" spans="1:4" x14ac:dyDescent="0.25">
      <c r="A10">
        <v>109</v>
      </c>
      <c r="B10" t="s">
        <v>29</v>
      </c>
      <c r="C10" t="s">
        <v>15</v>
      </c>
      <c r="D10" t="s">
        <v>16</v>
      </c>
    </row>
    <row r="11" spans="1:4" x14ac:dyDescent="0.25">
      <c r="A11">
        <v>110</v>
      </c>
      <c r="B11" t="s">
        <v>30</v>
      </c>
      <c r="C11" t="s">
        <v>18</v>
      </c>
      <c r="D11" t="s">
        <v>22</v>
      </c>
    </row>
    <row r="12" spans="1:4" x14ac:dyDescent="0.25">
      <c r="A12">
        <v>111</v>
      </c>
      <c r="B12" t="s">
        <v>31</v>
      </c>
      <c r="C12" t="s">
        <v>21</v>
      </c>
      <c r="D12" t="s">
        <v>19</v>
      </c>
    </row>
    <row r="13" spans="1:4" x14ac:dyDescent="0.25">
      <c r="A13">
        <v>112</v>
      </c>
      <c r="B13" t="s">
        <v>32</v>
      </c>
      <c r="C13" t="s">
        <v>24</v>
      </c>
      <c r="D13" t="s">
        <v>16</v>
      </c>
    </row>
    <row r="14" spans="1:4" x14ac:dyDescent="0.25">
      <c r="A14">
        <v>113</v>
      </c>
      <c r="B14" t="s">
        <v>33</v>
      </c>
      <c r="C14" t="s">
        <v>15</v>
      </c>
      <c r="D14" t="s">
        <v>22</v>
      </c>
    </row>
    <row r="15" spans="1:4" x14ac:dyDescent="0.25">
      <c r="A15">
        <v>114</v>
      </c>
      <c r="B15" t="s">
        <v>34</v>
      </c>
      <c r="C15" t="s">
        <v>18</v>
      </c>
      <c r="D15" t="s">
        <v>19</v>
      </c>
    </row>
    <row r="16" spans="1:4" x14ac:dyDescent="0.25">
      <c r="A16">
        <v>115</v>
      </c>
      <c r="B16" t="s">
        <v>35</v>
      </c>
      <c r="C16" t="s">
        <v>21</v>
      </c>
      <c r="D16" t="s">
        <v>16</v>
      </c>
    </row>
    <row r="17" spans="1:4" x14ac:dyDescent="0.25">
      <c r="A17">
        <v>116</v>
      </c>
      <c r="B17" t="s">
        <v>36</v>
      </c>
      <c r="C17" t="s">
        <v>24</v>
      </c>
      <c r="D17" t="s">
        <v>22</v>
      </c>
    </row>
    <row r="18" spans="1:4" x14ac:dyDescent="0.25">
      <c r="A18">
        <v>117</v>
      </c>
      <c r="B18" t="s">
        <v>37</v>
      </c>
      <c r="C18" t="s">
        <v>15</v>
      </c>
      <c r="D18" t="s">
        <v>19</v>
      </c>
    </row>
    <row r="19" spans="1:4" x14ac:dyDescent="0.25">
      <c r="A19">
        <v>118</v>
      </c>
      <c r="B19" t="s">
        <v>38</v>
      </c>
      <c r="C19" t="s">
        <v>18</v>
      </c>
      <c r="D19" t="s">
        <v>16</v>
      </c>
    </row>
    <row r="20" spans="1:4" x14ac:dyDescent="0.25">
      <c r="A20">
        <v>119</v>
      </c>
      <c r="B20" t="s">
        <v>39</v>
      </c>
      <c r="C20" t="s">
        <v>21</v>
      </c>
      <c r="D20" t="s">
        <v>22</v>
      </c>
    </row>
    <row r="21" spans="1:4" x14ac:dyDescent="0.25">
      <c r="A21">
        <v>120</v>
      </c>
      <c r="B21" t="s">
        <v>40</v>
      </c>
      <c r="C21" t="s">
        <v>24</v>
      </c>
      <c r="D21" t="s">
        <v>19</v>
      </c>
    </row>
    <row r="22" spans="1:4" x14ac:dyDescent="0.25">
      <c r="A22">
        <v>121</v>
      </c>
      <c r="B22" t="s">
        <v>41</v>
      </c>
      <c r="C22" t="s">
        <v>15</v>
      </c>
      <c r="D22" t="s">
        <v>16</v>
      </c>
    </row>
    <row r="23" spans="1:4" x14ac:dyDescent="0.25">
      <c r="A23">
        <v>122</v>
      </c>
      <c r="B23" t="s">
        <v>42</v>
      </c>
      <c r="C23" t="s">
        <v>18</v>
      </c>
      <c r="D23" t="s">
        <v>22</v>
      </c>
    </row>
    <row r="24" spans="1:4" x14ac:dyDescent="0.25">
      <c r="A24">
        <v>123</v>
      </c>
      <c r="B24" t="s">
        <v>43</v>
      </c>
      <c r="C24" t="s">
        <v>21</v>
      </c>
      <c r="D24" t="s">
        <v>19</v>
      </c>
    </row>
    <row r="25" spans="1:4" x14ac:dyDescent="0.25">
      <c r="A25">
        <v>124</v>
      </c>
      <c r="B25" t="s">
        <v>44</v>
      </c>
      <c r="C25" t="s">
        <v>24</v>
      </c>
      <c r="D25" t="s">
        <v>16</v>
      </c>
    </row>
    <row r="26" spans="1:4" x14ac:dyDescent="0.25">
      <c r="A26">
        <v>125</v>
      </c>
      <c r="B26" t="s">
        <v>45</v>
      </c>
      <c r="C26" t="s">
        <v>15</v>
      </c>
      <c r="D26" t="s">
        <v>22</v>
      </c>
    </row>
    <row r="27" spans="1:4" x14ac:dyDescent="0.25">
      <c r="A27">
        <v>126</v>
      </c>
      <c r="B27" t="s">
        <v>46</v>
      </c>
      <c r="C27" t="s">
        <v>18</v>
      </c>
      <c r="D27" t="s">
        <v>19</v>
      </c>
    </row>
    <row r="28" spans="1:4" x14ac:dyDescent="0.25">
      <c r="A28">
        <v>127</v>
      </c>
      <c r="B28" t="s">
        <v>47</v>
      </c>
      <c r="C28" t="s">
        <v>21</v>
      </c>
      <c r="D28" t="s">
        <v>16</v>
      </c>
    </row>
    <row r="29" spans="1:4" x14ac:dyDescent="0.25">
      <c r="A29">
        <v>128</v>
      </c>
      <c r="B29" t="s">
        <v>48</v>
      </c>
      <c r="C29" t="s">
        <v>24</v>
      </c>
      <c r="D29" t="s">
        <v>22</v>
      </c>
    </row>
    <row r="30" spans="1:4" x14ac:dyDescent="0.25">
      <c r="A30">
        <v>129</v>
      </c>
      <c r="B30" t="s">
        <v>49</v>
      </c>
      <c r="C30" t="s">
        <v>15</v>
      </c>
      <c r="D30" t="s">
        <v>19</v>
      </c>
    </row>
    <row r="31" spans="1:4" x14ac:dyDescent="0.25">
      <c r="A31">
        <v>130</v>
      </c>
      <c r="B31" t="s">
        <v>50</v>
      </c>
      <c r="C31" t="s">
        <v>18</v>
      </c>
      <c r="D31" t="s">
        <v>16</v>
      </c>
    </row>
    <row r="32" spans="1:4" x14ac:dyDescent="0.25">
      <c r="A32">
        <v>131</v>
      </c>
      <c r="B32" t="s">
        <v>51</v>
      </c>
      <c r="C32" t="s">
        <v>21</v>
      </c>
      <c r="D32" t="s">
        <v>22</v>
      </c>
    </row>
    <row r="33" spans="1:4" x14ac:dyDescent="0.25">
      <c r="A33">
        <v>132</v>
      </c>
      <c r="B33" t="s">
        <v>52</v>
      </c>
      <c r="C33" t="s">
        <v>24</v>
      </c>
      <c r="D33" t="s">
        <v>19</v>
      </c>
    </row>
    <row r="34" spans="1:4" x14ac:dyDescent="0.25">
      <c r="A34">
        <v>133</v>
      </c>
      <c r="B34" t="s">
        <v>53</v>
      </c>
      <c r="C34" t="s">
        <v>15</v>
      </c>
      <c r="D34" t="s">
        <v>16</v>
      </c>
    </row>
    <row r="35" spans="1:4" x14ac:dyDescent="0.25">
      <c r="A35">
        <v>134</v>
      </c>
      <c r="B35" t="s">
        <v>54</v>
      </c>
      <c r="C35" t="s">
        <v>18</v>
      </c>
      <c r="D35" t="s">
        <v>22</v>
      </c>
    </row>
    <row r="36" spans="1:4" x14ac:dyDescent="0.25">
      <c r="A36">
        <v>135</v>
      </c>
      <c r="B36" t="s">
        <v>55</v>
      </c>
      <c r="C36" t="s">
        <v>21</v>
      </c>
      <c r="D36" t="s">
        <v>19</v>
      </c>
    </row>
    <row r="37" spans="1:4" x14ac:dyDescent="0.25">
      <c r="A37">
        <v>136</v>
      </c>
      <c r="B37" t="s">
        <v>56</v>
      </c>
      <c r="C37" t="s">
        <v>24</v>
      </c>
      <c r="D37" t="s">
        <v>16</v>
      </c>
    </row>
    <row r="38" spans="1:4" x14ac:dyDescent="0.25">
      <c r="A38">
        <v>137</v>
      </c>
      <c r="B38" t="s">
        <v>57</v>
      </c>
      <c r="C38" t="s">
        <v>15</v>
      </c>
      <c r="D38" t="s">
        <v>22</v>
      </c>
    </row>
    <row r="39" spans="1:4" x14ac:dyDescent="0.25">
      <c r="A39">
        <v>138</v>
      </c>
      <c r="B39" t="s">
        <v>58</v>
      </c>
      <c r="C39" t="s">
        <v>18</v>
      </c>
      <c r="D39" t="s">
        <v>19</v>
      </c>
    </row>
    <row r="40" spans="1:4" x14ac:dyDescent="0.25">
      <c r="A40">
        <v>139</v>
      </c>
      <c r="B40" t="s">
        <v>59</v>
      </c>
      <c r="C40" t="s">
        <v>21</v>
      </c>
      <c r="D40" t="s">
        <v>16</v>
      </c>
    </row>
    <row r="41" spans="1:4" x14ac:dyDescent="0.25">
      <c r="A41">
        <v>140</v>
      </c>
      <c r="B41" t="s">
        <v>60</v>
      </c>
      <c r="C41" t="s">
        <v>24</v>
      </c>
      <c r="D41" t="s">
        <v>22</v>
      </c>
    </row>
    <row r="42" spans="1:4" x14ac:dyDescent="0.25">
      <c r="A42">
        <v>141</v>
      </c>
      <c r="B42" t="s">
        <v>61</v>
      </c>
      <c r="C42" t="s">
        <v>15</v>
      </c>
      <c r="D42" t="s">
        <v>19</v>
      </c>
    </row>
    <row r="43" spans="1:4" x14ac:dyDescent="0.25">
      <c r="A43">
        <v>142</v>
      </c>
      <c r="B43" t="s">
        <v>62</v>
      </c>
      <c r="C43" t="s">
        <v>18</v>
      </c>
      <c r="D43" t="s">
        <v>16</v>
      </c>
    </row>
    <row r="44" spans="1:4" x14ac:dyDescent="0.25">
      <c r="A44">
        <v>143</v>
      </c>
      <c r="B44" t="s">
        <v>63</v>
      </c>
      <c r="C44" t="s">
        <v>21</v>
      </c>
      <c r="D44" t="s">
        <v>22</v>
      </c>
    </row>
    <row r="45" spans="1:4" x14ac:dyDescent="0.25">
      <c r="A45">
        <v>144</v>
      </c>
      <c r="B45" t="s">
        <v>64</v>
      </c>
      <c r="C45" t="s">
        <v>24</v>
      </c>
      <c r="D45" t="s">
        <v>19</v>
      </c>
    </row>
    <row r="46" spans="1:4" x14ac:dyDescent="0.25">
      <c r="A46">
        <v>145</v>
      </c>
      <c r="B46" t="s">
        <v>65</v>
      </c>
      <c r="C46" t="s">
        <v>15</v>
      </c>
      <c r="D46" t="s">
        <v>16</v>
      </c>
    </row>
    <row r="47" spans="1:4" x14ac:dyDescent="0.25">
      <c r="A47">
        <v>146</v>
      </c>
      <c r="B47" t="s">
        <v>66</v>
      </c>
      <c r="C47" t="s">
        <v>18</v>
      </c>
      <c r="D47" t="s">
        <v>22</v>
      </c>
    </row>
    <row r="48" spans="1:4" x14ac:dyDescent="0.25">
      <c r="A48">
        <v>147</v>
      </c>
      <c r="B48" t="s">
        <v>67</v>
      </c>
      <c r="C48" t="s">
        <v>21</v>
      </c>
      <c r="D48" t="s">
        <v>19</v>
      </c>
    </row>
    <row r="49" spans="1:4" x14ac:dyDescent="0.25">
      <c r="A49">
        <v>148</v>
      </c>
      <c r="B49" t="s">
        <v>68</v>
      </c>
      <c r="C49" t="s">
        <v>24</v>
      </c>
      <c r="D49" t="s">
        <v>16</v>
      </c>
    </row>
    <row r="50" spans="1:4" x14ac:dyDescent="0.25">
      <c r="A50">
        <v>149</v>
      </c>
      <c r="B50" t="s">
        <v>69</v>
      </c>
      <c r="C50" t="s">
        <v>15</v>
      </c>
      <c r="D50" t="s">
        <v>22</v>
      </c>
    </row>
    <row r="51" spans="1:4" x14ac:dyDescent="0.25">
      <c r="A51">
        <v>150</v>
      </c>
      <c r="B51" t="s">
        <v>70</v>
      </c>
      <c r="C51" t="s">
        <v>18</v>
      </c>
      <c r="D5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1823-2E85-449A-A500-A134E6EA1579}">
  <dimension ref="A1:D51"/>
  <sheetViews>
    <sheetView workbookViewId="0">
      <selection sqref="A1:D51"/>
    </sheetView>
  </sheetViews>
  <sheetFormatPr defaultRowHeight="12.5" x14ac:dyDescent="0.25"/>
  <cols>
    <col min="1" max="1" width="11.453125" customWidth="1"/>
    <col min="3" max="3" width="10.90625" customWidth="1"/>
  </cols>
  <sheetData>
    <row r="1" spans="1:4" x14ac:dyDescent="0.25">
      <c r="A1" t="s">
        <v>2</v>
      </c>
      <c r="B1" t="s">
        <v>12</v>
      </c>
      <c r="C1" t="s">
        <v>13</v>
      </c>
      <c r="D1" t="s">
        <v>4</v>
      </c>
    </row>
    <row r="2" spans="1:4" x14ac:dyDescent="0.25">
      <c r="A2">
        <v>101</v>
      </c>
      <c r="B2" t="s">
        <v>15</v>
      </c>
      <c r="C2" t="s">
        <v>16</v>
      </c>
      <c r="D2">
        <v>15000</v>
      </c>
    </row>
    <row r="3" spans="1:4" x14ac:dyDescent="0.25">
      <c r="A3">
        <v>102</v>
      </c>
      <c r="B3" t="s">
        <v>18</v>
      </c>
      <c r="C3" t="s">
        <v>19</v>
      </c>
      <c r="D3">
        <v>8500</v>
      </c>
    </row>
    <row r="4" spans="1:4" x14ac:dyDescent="0.25">
      <c r="A4">
        <v>103</v>
      </c>
      <c r="B4" t="s">
        <v>21</v>
      </c>
      <c r="C4" t="s">
        <v>22</v>
      </c>
      <c r="D4">
        <v>2500</v>
      </c>
    </row>
    <row r="5" spans="1:4" x14ac:dyDescent="0.25">
      <c r="A5">
        <v>104</v>
      </c>
      <c r="B5" t="s">
        <v>24</v>
      </c>
      <c r="C5" t="s">
        <v>16</v>
      </c>
      <c r="D5">
        <v>22000</v>
      </c>
    </row>
    <row r="6" spans="1:4" x14ac:dyDescent="0.25">
      <c r="A6">
        <v>105</v>
      </c>
      <c r="B6" t="s">
        <v>15</v>
      </c>
      <c r="C6" t="s">
        <v>19</v>
      </c>
      <c r="D6">
        <v>12000</v>
      </c>
    </row>
    <row r="7" spans="1:4" x14ac:dyDescent="0.25">
      <c r="A7">
        <v>106</v>
      </c>
      <c r="B7" t="s">
        <v>18</v>
      </c>
      <c r="C7" t="s">
        <v>16</v>
      </c>
      <c r="D7">
        <v>1800</v>
      </c>
    </row>
    <row r="8" spans="1:4" x14ac:dyDescent="0.25">
      <c r="A8">
        <v>107</v>
      </c>
      <c r="B8" t="s">
        <v>21</v>
      </c>
      <c r="C8" t="s">
        <v>22</v>
      </c>
      <c r="D8">
        <v>18500</v>
      </c>
    </row>
    <row r="9" spans="1:4" x14ac:dyDescent="0.25">
      <c r="A9">
        <v>108</v>
      </c>
      <c r="B9" t="s">
        <v>24</v>
      </c>
      <c r="C9" t="s">
        <v>19</v>
      </c>
      <c r="D9">
        <v>9500</v>
      </c>
    </row>
    <row r="10" spans="1:4" x14ac:dyDescent="0.25">
      <c r="A10">
        <v>109</v>
      </c>
      <c r="B10" t="s">
        <v>15</v>
      </c>
      <c r="C10" t="s">
        <v>16</v>
      </c>
      <c r="D10">
        <v>3200</v>
      </c>
    </row>
    <row r="11" spans="1:4" x14ac:dyDescent="0.25">
      <c r="A11">
        <v>110</v>
      </c>
      <c r="B11" t="s">
        <v>18</v>
      </c>
      <c r="C11" t="s">
        <v>22</v>
      </c>
      <c r="D11">
        <v>27500</v>
      </c>
    </row>
    <row r="12" spans="1:4" x14ac:dyDescent="0.25">
      <c r="A12">
        <v>111</v>
      </c>
      <c r="B12" t="s">
        <v>21</v>
      </c>
      <c r="C12" t="s">
        <v>19</v>
      </c>
      <c r="D12">
        <v>14500</v>
      </c>
    </row>
    <row r="13" spans="1:4" x14ac:dyDescent="0.25">
      <c r="A13">
        <v>112</v>
      </c>
      <c r="B13" t="s">
        <v>24</v>
      </c>
      <c r="C13" t="s">
        <v>16</v>
      </c>
      <c r="D13">
        <v>2100</v>
      </c>
    </row>
    <row r="14" spans="1:4" x14ac:dyDescent="0.25">
      <c r="A14">
        <v>113</v>
      </c>
      <c r="B14" t="s">
        <v>15</v>
      </c>
      <c r="C14" t="s">
        <v>22</v>
      </c>
      <c r="D14">
        <v>32000</v>
      </c>
    </row>
    <row r="15" spans="1:4" x14ac:dyDescent="0.25">
      <c r="A15">
        <v>114</v>
      </c>
      <c r="B15" t="s">
        <v>18</v>
      </c>
      <c r="C15" t="s">
        <v>19</v>
      </c>
      <c r="D15">
        <v>11000</v>
      </c>
    </row>
    <row r="16" spans="1:4" x14ac:dyDescent="0.25">
      <c r="A16">
        <v>115</v>
      </c>
      <c r="B16" t="s">
        <v>21</v>
      </c>
      <c r="C16" t="s">
        <v>16</v>
      </c>
      <c r="D16">
        <v>4000</v>
      </c>
    </row>
    <row r="17" spans="1:4" x14ac:dyDescent="0.25">
      <c r="A17">
        <v>116</v>
      </c>
      <c r="B17" t="s">
        <v>24</v>
      </c>
      <c r="C17" t="s">
        <v>22</v>
      </c>
      <c r="D17">
        <v>19500</v>
      </c>
    </row>
    <row r="18" spans="1:4" x14ac:dyDescent="0.25">
      <c r="A18">
        <v>117</v>
      </c>
      <c r="B18" t="s">
        <v>15</v>
      </c>
      <c r="C18" t="s">
        <v>19</v>
      </c>
      <c r="D18">
        <v>16000</v>
      </c>
    </row>
    <row r="19" spans="1:4" x14ac:dyDescent="0.25">
      <c r="A19">
        <v>118</v>
      </c>
      <c r="B19" t="s">
        <v>18</v>
      </c>
      <c r="C19" t="s">
        <v>16</v>
      </c>
      <c r="D19">
        <v>2800</v>
      </c>
    </row>
    <row r="20" spans="1:4" x14ac:dyDescent="0.25">
      <c r="A20">
        <v>119</v>
      </c>
      <c r="B20" t="s">
        <v>21</v>
      </c>
      <c r="C20" t="s">
        <v>22</v>
      </c>
      <c r="D20">
        <v>24000</v>
      </c>
    </row>
    <row r="21" spans="1:4" x14ac:dyDescent="0.25">
      <c r="A21">
        <v>120</v>
      </c>
      <c r="B21" t="s">
        <v>24</v>
      </c>
      <c r="C21" t="s">
        <v>19</v>
      </c>
      <c r="D21">
        <v>13500</v>
      </c>
    </row>
    <row r="22" spans="1:4" x14ac:dyDescent="0.25">
      <c r="A22">
        <v>121</v>
      </c>
      <c r="B22" t="s">
        <v>15</v>
      </c>
      <c r="C22" t="s">
        <v>16</v>
      </c>
      <c r="D22">
        <v>3500</v>
      </c>
    </row>
    <row r="23" spans="1:4" x14ac:dyDescent="0.25">
      <c r="A23">
        <v>122</v>
      </c>
      <c r="B23" t="s">
        <v>18</v>
      </c>
      <c r="C23" t="s">
        <v>22</v>
      </c>
      <c r="D23">
        <v>29000</v>
      </c>
    </row>
    <row r="24" spans="1:4" x14ac:dyDescent="0.25">
      <c r="A24">
        <v>123</v>
      </c>
      <c r="B24" t="s">
        <v>21</v>
      </c>
      <c r="C24" t="s">
        <v>19</v>
      </c>
      <c r="D24">
        <v>10500</v>
      </c>
    </row>
    <row r="25" spans="1:4" x14ac:dyDescent="0.25">
      <c r="A25">
        <v>124</v>
      </c>
      <c r="B25" t="s">
        <v>24</v>
      </c>
      <c r="C25" t="s">
        <v>16</v>
      </c>
      <c r="D25">
        <v>2200</v>
      </c>
    </row>
    <row r="26" spans="1:4" x14ac:dyDescent="0.25">
      <c r="A26">
        <v>125</v>
      </c>
      <c r="B26" t="s">
        <v>15</v>
      </c>
      <c r="C26" t="s">
        <v>22</v>
      </c>
      <c r="D26">
        <v>35000</v>
      </c>
    </row>
    <row r="27" spans="1:4" x14ac:dyDescent="0.25">
      <c r="A27">
        <v>126</v>
      </c>
      <c r="B27" t="s">
        <v>18</v>
      </c>
      <c r="C27" t="s">
        <v>19</v>
      </c>
      <c r="D27">
        <v>17500</v>
      </c>
    </row>
    <row r="28" spans="1:4" x14ac:dyDescent="0.25">
      <c r="A28">
        <v>127</v>
      </c>
      <c r="B28" t="s">
        <v>21</v>
      </c>
      <c r="C28" t="s">
        <v>16</v>
      </c>
      <c r="D28">
        <v>3000</v>
      </c>
    </row>
    <row r="29" spans="1:4" x14ac:dyDescent="0.25">
      <c r="A29">
        <v>128</v>
      </c>
      <c r="B29" t="s">
        <v>24</v>
      </c>
      <c r="C29" t="s">
        <v>22</v>
      </c>
      <c r="D29">
        <v>21000</v>
      </c>
    </row>
    <row r="30" spans="1:4" x14ac:dyDescent="0.25">
      <c r="A30">
        <v>129</v>
      </c>
      <c r="B30" t="s">
        <v>15</v>
      </c>
      <c r="C30" t="s">
        <v>19</v>
      </c>
      <c r="D30">
        <v>12500</v>
      </c>
    </row>
    <row r="31" spans="1:4" x14ac:dyDescent="0.25">
      <c r="A31">
        <v>130</v>
      </c>
      <c r="B31" t="s">
        <v>18</v>
      </c>
      <c r="C31" t="s">
        <v>16</v>
      </c>
      <c r="D31">
        <v>4500</v>
      </c>
    </row>
    <row r="32" spans="1:4" x14ac:dyDescent="0.25">
      <c r="A32">
        <v>131</v>
      </c>
      <c r="B32" t="s">
        <v>21</v>
      </c>
      <c r="C32" t="s">
        <v>22</v>
      </c>
      <c r="D32">
        <v>26000</v>
      </c>
    </row>
    <row r="33" spans="1:4" x14ac:dyDescent="0.25">
      <c r="A33">
        <v>132</v>
      </c>
      <c r="B33" t="s">
        <v>24</v>
      </c>
      <c r="C33" t="s">
        <v>19</v>
      </c>
      <c r="D33">
        <v>15500</v>
      </c>
    </row>
    <row r="34" spans="1:4" x14ac:dyDescent="0.25">
      <c r="A34">
        <v>133</v>
      </c>
      <c r="B34" t="s">
        <v>15</v>
      </c>
      <c r="C34" t="s">
        <v>16</v>
      </c>
      <c r="D34">
        <v>1900</v>
      </c>
    </row>
    <row r="35" spans="1:4" x14ac:dyDescent="0.25">
      <c r="A35">
        <v>134</v>
      </c>
      <c r="B35" t="s">
        <v>18</v>
      </c>
      <c r="C35" t="s">
        <v>22</v>
      </c>
      <c r="D35">
        <v>31000</v>
      </c>
    </row>
    <row r="36" spans="1:4" x14ac:dyDescent="0.25">
      <c r="A36">
        <v>135</v>
      </c>
      <c r="B36" t="s">
        <v>21</v>
      </c>
      <c r="C36" t="s">
        <v>19</v>
      </c>
      <c r="D36">
        <v>9000</v>
      </c>
    </row>
    <row r="37" spans="1:4" x14ac:dyDescent="0.25">
      <c r="A37">
        <v>136</v>
      </c>
      <c r="B37" t="s">
        <v>24</v>
      </c>
      <c r="C37" t="s">
        <v>16</v>
      </c>
      <c r="D37">
        <v>2700</v>
      </c>
    </row>
    <row r="38" spans="1:4" x14ac:dyDescent="0.25">
      <c r="A38">
        <v>137</v>
      </c>
      <c r="B38" t="s">
        <v>15</v>
      </c>
      <c r="C38" t="s">
        <v>22</v>
      </c>
      <c r="D38">
        <v>23000</v>
      </c>
    </row>
    <row r="39" spans="1:4" x14ac:dyDescent="0.25">
      <c r="A39">
        <v>138</v>
      </c>
      <c r="B39" t="s">
        <v>18</v>
      </c>
      <c r="C39" t="s">
        <v>19</v>
      </c>
      <c r="D39">
        <v>14000</v>
      </c>
    </row>
    <row r="40" spans="1:4" x14ac:dyDescent="0.25">
      <c r="A40">
        <v>139</v>
      </c>
      <c r="B40" t="s">
        <v>21</v>
      </c>
      <c r="C40" t="s">
        <v>16</v>
      </c>
      <c r="D40">
        <v>3800</v>
      </c>
    </row>
    <row r="41" spans="1:4" x14ac:dyDescent="0.25">
      <c r="A41">
        <v>140</v>
      </c>
      <c r="B41" t="s">
        <v>24</v>
      </c>
      <c r="C41" t="s">
        <v>22</v>
      </c>
      <c r="D41">
        <v>28000</v>
      </c>
    </row>
    <row r="42" spans="1:4" x14ac:dyDescent="0.25">
      <c r="A42">
        <v>141</v>
      </c>
      <c r="B42" t="s">
        <v>15</v>
      </c>
      <c r="C42" t="s">
        <v>19</v>
      </c>
      <c r="D42">
        <v>13000</v>
      </c>
    </row>
    <row r="43" spans="1:4" x14ac:dyDescent="0.25">
      <c r="A43">
        <v>142</v>
      </c>
      <c r="B43" t="s">
        <v>18</v>
      </c>
      <c r="C43" t="s">
        <v>16</v>
      </c>
      <c r="D43">
        <v>2400</v>
      </c>
    </row>
    <row r="44" spans="1:4" x14ac:dyDescent="0.25">
      <c r="A44">
        <v>143</v>
      </c>
      <c r="B44" t="s">
        <v>21</v>
      </c>
      <c r="C44" t="s">
        <v>22</v>
      </c>
      <c r="D44">
        <v>34000</v>
      </c>
    </row>
    <row r="45" spans="1:4" x14ac:dyDescent="0.25">
      <c r="A45">
        <v>144</v>
      </c>
      <c r="B45" t="s">
        <v>24</v>
      </c>
      <c r="C45" t="s">
        <v>19</v>
      </c>
      <c r="D45">
        <v>16500</v>
      </c>
    </row>
    <row r="46" spans="1:4" x14ac:dyDescent="0.25">
      <c r="A46">
        <v>145</v>
      </c>
      <c r="B46" t="s">
        <v>15</v>
      </c>
      <c r="C46" t="s">
        <v>16</v>
      </c>
      <c r="D46">
        <v>3100</v>
      </c>
    </row>
    <row r="47" spans="1:4" x14ac:dyDescent="0.25">
      <c r="A47">
        <v>146</v>
      </c>
      <c r="B47" t="s">
        <v>18</v>
      </c>
      <c r="C47" t="s">
        <v>22</v>
      </c>
      <c r="D47">
        <v>20000</v>
      </c>
    </row>
    <row r="48" spans="1:4" x14ac:dyDescent="0.25">
      <c r="A48">
        <v>147</v>
      </c>
      <c r="B48" t="s">
        <v>21</v>
      </c>
      <c r="C48" t="s">
        <v>19</v>
      </c>
      <c r="D48">
        <v>11500</v>
      </c>
    </row>
    <row r="49" spans="1:4" x14ac:dyDescent="0.25">
      <c r="A49">
        <v>148</v>
      </c>
      <c r="B49" t="s">
        <v>24</v>
      </c>
      <c r="C49" t="s">
        <v>16</v>
      </c>
      <c r="D49">
        <v>4200</v>
      </c>
    </row>
    <row r="50" spans="1:4" x14ac:dyDescent="0.25">
      <c r="A50">
        <v>149</v>
      </c>
      <c r="B50" t="s">
        <v>15</v>
      </c>
      <c r="C50" t="s">
        <v>22</v>
      </c>
      <c r="D50">
        <v>25000</v>
      </c>
    </row>
    <row r="51" spans="1:4" x14ac:dyDescent="0.25">
      <c r="A51">
        <v>150</v>
      </c>
      <c r="B51" t="s">
        <v>18</v>
      </c>
      <c r="C51" t="s">
        <v>19</v>
      </c>
      <c r="D51">
        <v>18000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0BA6-ABEF-4F36-AEB0-C495E268CCB8}">
  <dimension ref="A1:D51"/>
  <sheetViews>
    <sheetView workbookViewId="0">
      <selection sqref="A1:D51"/>
    </sheetView>
  </sheetViews>
  <sheetFormatPr defaultRowHeight="12.5" x14ac:dyDescent="0.25"/>
  <cols>
    <col min="1" max="1" width="13.08984375" customWidth="1"/>
    <col min="2" max="2" width="20.7265625" customWidth="1"/>
  </cols>
  <sheetData>
    <row r="1" spans="1:4" x14ac:dyDescent="0.25">
      <c r="A1" t="s">
        <v>2</v>
      </c>
      <c r="B1" t="s">
        <v>3</v>
      </c>
      <c r="C1" t="s">
        <v>12</v>
      </c>
      <c r="D1" t="s">
        <v>6</v>
      </c>
    </row>
    <row r="2" spans="1:4" x14ac:dyDescent="0.25">
      <c r="A2">
        <v>101</v>
      </c>
      <c r="B2" t="s">
        <v>8</v>
      </c>
      <c r="C2" t="s">
        <v>15</v>
      </c>
      <c r="D2">
        <v>3000</v>
      </c>
    </row>
    <row r="3" spans="1:4" x14ac:dyDescent="0.25">
      <c r="A3">
        <v>102</v>
      </c>
      <c r="B3" t="s">
        <v>9</v>
      </c>
      <c r="C3" t="s">
        <v>18</v>
      </c>
      <c r="D3">
        <v>1200</v>
      </c>
    </row>
    <row r="4" spans="1:4" x14ac:dyDescent="0.25">
      <c r="A4">
        <v>103</v>
      </c>
      <c r="B4" t="s">
        <v>10</v>
      </c>
      <c r="C4" t="s">
        <v>21</v>
      </c>
      <c r="D4">
        <v>500</v>
      </c>
    </row>
    <row r="5" spans="1:4" x14ac:dyDescent="0.25">
      <c r="A5">
        <v>104</v>
      </c>
      <c r="B5" t="s">
        <v>8</v>
      </c>
      <c r="C5" t="s">
        <v>24</v>
      </c>
      <c r="D5">
        <v>4500</v>
      </c>
    </row>
    <row r="6" spans="1:4" x14ac:dyDescent="0.25">
      <c r="A6">
        <v>105</v>
      </c>
      <c r="B6" t="s">
        <v>9</v>
      </c>
      <c r="C6" t="s">
        <v>15</v>
      </c>
      <c r="D6">
        <v>1800</v>
      </c>
    </row>
    <row r="7" spans="1:4" x14ac:dyDescent="0.25">
      <c r="A7">
        <v>106</v>
      </c>
      <c r="B7" t="s">
        <v>10</v>
      </c>
      <c r="C7" t="s">
        <v>18</v>
      </c>
      <c r="D7">
        <v>350</v>
      </c>
    </row>
    <row r="8" spans="1:4" x14ac:dyDescent="0.25">
      <c r="A8">
        <v>107</v>
      </c>
      <c r="B8" t="s">
        <v>8</v>
      </c>
      <c r="C8" t="s">
        <v>21</v>
      </c>
      <c r="D8">
        <v>4000</v>
      </c>
    </row>
    <row r="9" spans="1:4" x14ac:dyDescent="0.25">
      <c r="A9">
        <v>108</v>
      </c>
      <c r="B9" t="s">
        <v>9</v>
      </c>
      <c r="C9" t="s">
        <v>24</v>
      </c>
      <c r="D9">
        <v>1400</v>
      </c>
    </row>
    <row r="10" spans="1:4" x14ac:dyDescent="0.25">
      <c r="A10">
        <v>109</v>
      </c>
      <c r="B10" t="s">
        <v>10</v>
      </c>
      <c r="C10" t="s">
        <v>15</v>
      </c>
      <c r="D10">
        <v>650</v>
      </c>
    </row>
    <row r="11" spans="1:4" x14ac:dyDescent="0.25">
      <c r="A11">
        <v>110</v>
      </c>
      <c r="B11" t="s">
        <v>8</v>
      </c>
      <c r="C11" t="s">
        <v>18</v>
      </c>
      <c r="D11">
        <v>5500</v>
      </c>
    </row>
    <row r="12" spans="1:4" x14ac:dyDescent="0.25">
      <c r="A12">
        <v>111</v>
      </c>
      <c r="B12" t="s">
        <v>9</v>
      </c>
      <c r="C12" t="s">
        <v>21</v>
      </c>
      <c r="D12">
        <v>2200</v>
      </c>
    </row>
    <row r="13" spans="1:4" x14ac:dyDescent="0.25">
      <c r="A13">
        <v>112</v>
      </c>
      <c r="B13" t="s">
        <v>10</v>
      </c>
      <c r="C13" t="s">
        <v>24</v>
      </c>
      <c r="D13">
        <v>420</v>
      </c>
    </row>
    <row r="14" spans="1:4" x14ac:dyDescent="0.25">
      <c r="A14">
        <v>113</v>
      </c>
      <c r="B14" t="s">
        <v>8</v>
      </c>
      <c r="C14" t="s">
        <v>15</v>
      </c>
      <c r="D14">
        <v>7000</v>
      </c>
    </row>
    <row r="15" spans="1:4" x14ac:dyDescent="0.25">
      <c r="A15">
        <v>114</v>
      </c>
      <c r="B15" t="s">
        <v>9</v>
      </c>
      <c r="C15" t="s">
        <v>18</v>
      </c>
      <c r="D15">
        <v>1600</v>
      </c>
    </row>
    <row r="16" spans="1:4" x14ac:dyDescent="0.25">
      <c r="A16">
        <v>115</v>
      </c>
      <c r="B16" t="s">
        <v>10</v>
      </c>
      <c r="C16" t="s">
        <v>21</v>
      </c>
      <c r="D16">
        <v>800</v>
      </c>
    </row>
    <row r="17" spans="1:4" x14ac:dyDescent="0.25">
      <c r="A17">
        <v>116</v>
      </c>
      <c r="B17" t="s">
        <v>8</v>
      </c>
      <c r="C17" t="s">
        <v>24</v>
      </c>
      <c r="D17">
        <v>4200</v>
      </c>
    </row>
    <row r="18" spans="1:4" x14ac:dyDescent="0.25">
      <c r="A18">
        <v>117</v>
      </c>
      <c r="B18" t="s">
        <v>9</v>
      </c>
      <c r="C18" t="s">
        <v>15</v>
      </c>
      <c r="D18">
        <v>2500</v>
      </c>
    </row>
    <row r="19" spans="1:4" x14ac:dyDescent="0.25">
      <c r="A19">
        <v>118</v>
      </c>
      <c r="B19" t="s">
        <v>10</v>
      </c>
      <c r="C19" t="s">
        <v>18</v>
      </c>
      <c r="D19">
        <v>550</v>
      </c>
    </row>
    <row r="20" spans="1:4" x14ac:dyDescent="0.25">
      <c r="A20">
        <v>119</v>
      </c>
      <c r="B20" t="s">
        <v>8</v>
      </c>
      <c r="C20" t="s">
        <v>21</v>
      </c>
      <c r="D20">
        <v>5000</v>
      </c>
    </row>
    <row r="21" spans="1:4" x14ac:dyDescent="0.25">
      <c r="A21">
        <v>120</v>
      </c>
      <c r="B21" t="s">
        <v>9</v>
      </c>
      <c r="C21" t="s">
        <v>24</v>
      </c>
      <c r="D21">
        <v>2000</v>
      </c>
    </row>
    <row r="22" spans="1:4" x14ac:dyDescent="0.25">
      <c r="A22">
        <v>121</v>
      </c>
      <c r="B22" t="s">
        <v>10</v>
      </c>
      <c r="C22" t="s">
        <v>15</v>
      </c>
      <c r="D22">
        <v>700</v>
      </c>
    </row>
    <row r="23" spans="1:4" x14ac:dyDescent="0.25">
      <c r="A23">
        <v>122</v>
      </c>
      <c r="B23" t="s">
        <v>8</v>
      </c>
      <c r="C23" t="s">
        <v>18</v>
      </c>
      <c r="D23">
        <v>6200</v>
      </c>
    </row>
    <row r="24" spans="1:4" x14ac:dyDescent="0.25">
      <c r="A24">
        <v>123</v>
      </c>
      <c r="B24" t="s">
        <v>9</v>
      </c>
      <c r="C24" t="s">
        <v>21</v>
      </c>
      <c r="D24">
        <v>1500</v>
      </c>
    </row>
    <row r="25" spans="1:4" x14ac:dyDescent="0.25">
      <c r="A25">
        <v>124</v>
      </c>
      <c r="B25" t="s">
        <v>10</v>
      </c>
      <c r="C25" t="s">
        <v>24</v>
      </c>
      <c r="D25">
        <v>400</v>
      </c>
    </row>
    <row r="26" spans="1:4" x14ac:dyDescent="0.25">
      <c r="A26">
        <v>125</v>
      </c>
      <c r="B26" t="s">
        <v>8</v>
      </c>
      <c r="C26" t="s">
        <v>15</v>
      </c>
      <c r="D26">
        <v>8000</v>
      </c>
    </row>
    <row r="27" spans="1:4" x14ac:dyDescent="0.25">
      <c r="A27">
        <v>126</v>
      </c>
      <c r="B27" t="s">
        <v>9</v>
      </c>
      <c r="C27" t="s">
        <v>18</v>
      </c>
      <c r="D27">
        <v>2800</v>
      </c>
    </row>
    <row r="28" spans="1:4" x14ac:dyDescent="0.25">
      <c r="A28">
        <v>127</v>
      </c>
      <c r="B28" t="s">
        <v>10</v>
      </c>
      <c r="C28" t="s">
        <v>21</v>
      </c>
      <c r="D28">
        <v>600</v>
      </c>
    </row>
    <row r="29" spans="1:4" x14ac:dyDescent="0.25">
      <c r="A29">
        <v>128</v>
      </c>
      <c r="B29" t="s">
        <v>8</v>
      </c>
      <c r="C29" t="s">
        <v>24</v>
      </c>
      <c r="D29">
        <v>4500</v>
      </c>
    </row>
    <row r="30" spans="1:4" x14ac:dyDescent="0.25">
      <c r="A30">
        <v>129</v>
      </c>
      <c r="B30" t="s">
        <v>9</v>
      </c>
      <c r="C30" t="s">
        <v>15</v>
      </c>
      <c r="D30">
        <v>1900</v>
      </c>
    </row>
    <row r="31" spans="1:4" x14ac:dyDescent="0.25">
      <c r="A31">
        <v>130</v>
      </c>
      <c r="B31" t="s">
        <v>10</v>
      </c>
      <c r="C31" t="s">
        <v>18</v>
      </c>
      <c r="D31">
        <v>900</v>
      </c>
    </row>
    <row r="32" spans="1:4" x14ac:dyDescent="0.25">
      <c r="A32">
        <v>131</v>
      </c>
      <c r="B32" t="s">
        <v>8</v>
      </c>
      <c r="C32" t="s">
        <v>21</v>
      </c>
      <c r="D32">
        <v>5500</v>
      </c>
    </row>
    <row r="33" spans="1:4" x14ac:dyDescent="0.25">
      <c r="A33">
        <v>132</v>
      </c>
      <c r="B33" t="s">
        <v>9</v>
      </c>
      <c r="C33" t="s">
        <v>24</v>
      </c>
      <c r="D33">
        <v>2400</v>
      </c>
    </row>
    <row r="34" spans="1:4" x14ac:dyDescent="0.25">
      <c r="A34">
        <v>133</v>
      </c>
      <c r="B34" t="s">
        <v>10</v>
      </c>
      <c r="C34" t="s">
        <v>15</v>
      </c>
      <c r="D34">
        <v>380</v>
      </c>
    </row>
    <row r="35" spans="1:4" x14ac:dyDescent="0.25">
      <c r="A35">
        <v>134</v>
      </c>
      <c r="B35" t="s">
        <v>8</v>
      </c>
      <c r="C35" t="s">
        <v>18</v>
      </c>
      <c r="D35">
        <v>6800</v>
      </c>
    </row>
    <row r="36" spans="1:4" x14ac:dyDescent="0.25">
      <c r="A36">
        <v>135</v>
      </c>
      <c r="B36" t="s">
        <v>9</v>
      </c>
      <c r="C36" t="s">
        <v>21</v>
      </c>
      <c r="D36">
        <v>1300</v>
      </c>
    </row>
    <row r="37" spans="1:4" x14ac:dyDescent="0.25">
      <c r="A37">
        <v>136</v>
      </c>
      <c r="B37" t="s">
        <v>10</v>
      </c>
      <c r="C37" t="s">
        <v>24</v>
      </c>
      <c r="D37">
        <v>520</v>
      </c>
    </row>
    <row r="38" spans="1:4" x14ac:dyDescent="0.25">
      <c r="A38">
        <v>137</v>
      </c>
      <c r="B38" t="s">
        <v>8</v>
      </c>
      <c r="C38" t="s">
        <v>15</v>
      </c>
      <c r="D38">
        <v>4800</v>
      </c>
    </row>
    <row r="39" spans="1:4" x14ac:dyDescent="0.25">
      <c r="A39">
        <v>138</v>
      </c>
      <c r="B39" t="s">
        <v>9</v>
      </c>
      <c r="C39" t="s">
        <v>18</v>
      </c>
      <c r="D39">
        <v>2100</v>
      </c>
    </row>
    <row r="40" spans="1:4" x14ac:dyDescent="0.25">
      <c r="A40">
        <v>139</v>
      </c>
      <c r="B40" t="s">
        <v>10</v>
      </c>
      <c r="C40" t="s">
        <v>21</v>
      </c>
      <c r="D40">
        <v>750</v>
      </c>
    </row>
    <row r="41" spans="1:4" x14ac:dyDescent="0.25">
      <c r="A41">
        <v>140</v>
      </c>
      <c r="B41" t="s">
        <v>8</v>
      </c>
      <c r="C41" t="s">
        <v>24</v>
      </c>
      <c r="D41">
        <v>6000</v>
      </c>
    </row>
    <row r="42" spans="1:4" x14ac:dyDescent="0.25">
      <c r="A42">
        <v>141</v>
      </c>
      <c r="B42" t="s">
        <v>9</v>
      </c>
      <c r="C42" t="s">
        <v>15</v>
      </c>
      <c r="D42">
        <v>1950</v>
      </c>
    </row>
    <row r="43" spans="1:4" x14ac:dyDescent="0.25">
      <c r="A43">
        <v>142</v>
      </c>
      <c r="B43" t="s">
        <v>10</v>
      </c>
      <c r="C43" t="s">
        <v>18</v>
      </c>
      <c r="D43">
        <v>450</v>
      </c>
    </row>
    <row r="44" spans="1:4" x14ac:dyDescent="0.25">
      <c r="A44">
        <v>143</v>
      </c>
      <c r="B44" t="s">
        <v>8</v>
      </c>
      <c r="C44" t="s">
        <v>21</v>
      </c>
      <c r="D44">
        <v>7500</v>
      </c>
    </row>
    <row r="45" spans="1:4" x14ac:dyDescent="0.25">
      <c r="A45">
        <v>144</v>
      </c>
      <c r="B45" t="s">
        <v>9</v>
      </c>
      <c r="C45" t="s">
        <v>24</v>
      </c>
      <c r="D45">
        <v>2600</v>
      </c>
    </row>
    <row r="46" spans="1:4" x14ac:dyDescent="0.25">
      <c r="A46">
        <v>145</v>
      </c>
      <c r="B46" t="s">
        <v>10</v>
      </c>
      <c r="C46" t="s">
        <v>15</v>
      </c>
      <c r="D46">
        <v>620</v>
      </c>
    </row>
    <row r="47" spans="1:4" x14ac:dyDescent="0.25">
      <c r="A47">
        <v>146</v>
      </c>
      <c r="B47" t="s">
        <v>8</v>
      </c>
      <c r="C47" t="s">
        <v>18</v>
      </c>
      <c r="D47">
        <v>4300</v>
      </c>
    </row>
    <row r="48" spans="1:4" x14ac:dyDescent="0.25">
      <c r="A48">
        <v>147</v>
      </c>
      <c r="B48" t="s">
        <v>9</v>
      </c>
      <c r="C48" t="s">
        <v>21</v>
      </c>
      <c r="D48">
        <v>1700</v>
      </c>
    </row>
    <row r="49" spans="1:4" x14ac:dyDescent="0.25">
      <c r="A49">
        <v>148</v>
      </c>
      <c r="B49" t="s">
        <v>10</v>
      </c>
      <c r="C49" t="s">
        <v>24</v>
      </c>
      <c r="D49">
        <v>850</v>
      </c>
    </row>
    <row r="50" spans="1:4" x14ac:dyDescent="0.25">
      <c r="A50">
        <v>149</v>
      </c>
      <c r="B50" t="s">
        <v>8</v>
      </c>
      <c r="C50" t="s">
        <v>15</v>
      </c>
      <c r="D50">
        <v>5200</v>
      </c>
    </row>
    <row r="51" spans="1:4" x14ac:dyDescent="0.25">
      <c r="A51">
        <v>150</v>
      </c>
      <c r="B51" t="s">
        <v>9</v>
      </c>
      <c r="C51" t="s">
        <v>18</v>
      </c>
      <c r="D5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18E9-9D0A-48FA-8297-15F439A0F1CA}">
  <dimension ref="A1:E51"/>
  <sheetViews>
    <sheetView workbookViewId="0">
      <selection activeCell="H5" sqref="H5"/>
    </sheetView>
  </sheetViews>
  <sheetFormatPr defaultRowHeight="12.5" x14ac:dyDescent="0.25"/>
  <cols>
    <col min="1" max="1" width="15.6328125" customWidth="1"/>
    <col min="2" max="2" width="12.08984375" customWidth="1"/>
    <col min="3" max="3" width="12.36328125" customWidth="1"/>
  </cols>
  <sheetData>
    <row r="1" spans="1:5" x14ac:dyDescent="0.25">
      <c r="A1" t="s">
        <v>2</v>
      </c>
      <c r="B1" t="s">
        <v>12</v>
      </c>
      <c r="C1" t="s">
        <v>13</v>
      </c>
      <c r="D1" t="s">
        <v>4</v>
      </c>
      <c r="E1" t="s">
        <v>11</v>
      </c>
    </row>
    <row r="2" spans="1:5" x14ac:dyDescent="0.25">
      <c r="A2">
        <v>101</v>
      </c>
      <c r="B2" t="s">
        <v>15</v>
      </c>
      <c r="C2" t="s">
        <v>16</v>
      </c>
      <c r="D2">
        <v>15000</v>
      </c>
      <c r="E2" t="str">
        <f>VLOOKUP(A2,CUSTOMER!A2:B51,2,0)</f>
        <v>Aarav Sharma</v>
      </c>
    </row>
    <row r="3" spans="1:5" x14ac:dyDescent="0.25">
      <c r="A3">
        <v>102</v>
      </c>
      <c r="B3" t="s">
        <v>18</v>
      </c>
      <c r="C3" t="s">
        <v>19</v>
      </c>
      <c r="D3">
        <v>8500</v>
      </c>
      <c r="E3" t="str">
        <f>VLOOKUP(A3,CUSTOMER!A3:B52,2,0)</f>
        <v>Priya Patel</v>
      </c>
    </row>
    <row r="4" spans="1:5" x14ac:dyDescent="0.25">
      <c r="A4">
        <v>103</v>
      </c>
      <c r="B4" t="s">
        <v>21</v>
      </c>
      <c r="C4" t="s">
        <v>22</v>
      </c>
      <c r="D4">
        <v>2500</v>
      </c>
      <c r="E4" t="str">
        <f>VLOOKUP(A4,CUSTOMER!A4:B53,2,0)</f>
        <v>Rahul Verma</v>
      </c>
    </row>
    <row r="5" spans="1:5" x14ac:dyDescent="0.25">
      <c r="A5">
        <v>104</v>
      </c>
      <c r="B5" t="s">
        <v>24</v>
      </c>
      <c r="C5" t="s">
        <v>16</v>
      </c>
      <c r="D5">
        <v>22000</v>
      </c>
      <c r="E5" t="str">
        <f>VLOOKUP(A5,CUSTOMER!A5:B54,2,0)</f>
        <v>Sneha Gupta</v>
      </c>
    </row>
    <row r="6" spans="1:5" x14ac:dyDescent="0.25">
      <c r="A6">
        <v>105</v>
      </c>
      <c r="B6" t="s">
        <v>15</v>
      </c>
      <c r="C6" t="s">
        <v>19</v>
      </c>
      <c r="D6">
        <v>12000</v>
      </c>
      <c r="E6" t="str">
        <f>VLOOKUP(A6,CUSTOMER!A6:B55,2,0)</f>
        <v>Arjun Singh</v>
      </c>
    </row>
    <row r="7" spans="1:5" x14ac:dyDescent="0.25">
      <c r="A7">
        <v>106</v>
      </c>
      <c r="B7" t="s">
        <v>18</v>
      </c>
      <c r="C7" t="s">
        <v>16</v>
      </c>
      <c r="D7">
        <v>1800</v>
      </c>
      <c r="E7" t="str">
        <f>VLOOKUP(A7,CUSTOMER!A7:B56,2,0)</f>
        <v>Ananya Desai</v>
      </c>
    </row>
    <row r="8" spans="1:5" x14ac:dyDescent="0.25">
      <c r="A8">
        <v>107</v>
      </c>
      <c r="B8" t="s">
        <v>21</v>
      </c>
      <c r="C8" t="s">
        <v>22</v>
      </c>
      <c r="D8">
        <v>18500</v>
      </c>
      <c r="E8" t="str">
        <f>VLOOKUP(A8,CUSTOMER!A8:B57,2,0)</f>
        <v>Rohan Mehta</v>
      </c>
    </row>
    <row r="9" spans="1:5" x14ac:dyDescent="0.25">
      <c r="A9">
        <v>108</v>
      </c>
      <c r="B9" t="s">
        <v>24</v>
      </c>
      <c r="C9" t="s">
        <v>19</v>
      </c>
      <c r="D9">
        <v>9500</v>
      </c>
      <c r="E9" t="str">
        <f>VLOOKUP(A9,CUSTOMER!A9:B58,2,0)</f>
        <v>Kavya Joshi</v>
      </c>
    </row>
    <row r="10" spans="1:5" x14ac:dyDescent="0.25">
      <c r="A10">
        <v>109</v>
      </c>
      <c r="B10" t="s">
        <v>15</v>
      </c>
      <c r="C10" t="s">
        <v>16</v>
      </c>
      <c r="D10">
        <v>3200</v>
      </c>
      <c r="E10" t="str">
        <f>VLOOKUP(A10,CUSTOMER!A10:B59,2,0)</f>
        <v>Vikram Rao</v>
      </c>
    </row>
    <row r="11" spans="1:5" x14ac:dyDescent="0.25">
      <c r="A11">
        <v>110</v>
      </c>
      <c r="B11" t="s">
        <v>18</v>
      </c>
      <c r="C11" t="s">
        <v>22</v>
      </c>
      <c r="D11">
        <v>27500</v>
      </c>
      <c r="E11" t="str">
        <f>VLOOKUP(A11,CUSTOMER!A11:B60,2,0)</f>
        <v>Ishita Shah</v>
      </c>
    </row>
    <row r="12" spans="1:5" x14ac:dyDescent="0.25">
      <c r="A12">
        <v>111</v>
      </c>
      <c r="B12" t="s">
        <v>21</v>
      </c>
      <c r="C12" t="s">
        <v>19</v>
      </c>
      <c r="D12">
        <v>14500</v>
      </c>
      <c r="E12" t="str">
        <f>VLOOKUP(A12,CUSTOMER!A12:B61,2,0)</f>
        <v>Aditya Kumar</v>
      </c>
    </row>
    <row r="13" spans="1:5" x14ac:dyDescent="0.25">
      <c r="A13">
        <v>112</v>
      </c>
      <c r="B13" t="s">
        <v>24</v>
      </c>
      <c r="C13" t="s">
        <v>16</v>
      </c>
      <c r="D13">
        <v>2100</v>
      </c>
      <c r="E13" t="str">
        <f>VLOOKUP(A13,CUSTOMER!A13:B62,2,0)</f>
        <v>Pooja Nair</v>
      </c>
    </row>
    <row r="14" spans="1:5" x14ac:dyDescent="0.25">
      <c r="A14">
        <v>113</v>
      </c>
      <c r="B14" t="s">
        <v>15</v>
      </c>
      <c r="C14" t="s">
        <v>22</v>
      </c>
      <c r="D14">
        <v>32000</v>
      </c>
      <c r="E14" t="str">
        <f>VLOOKUP(A14,CUSTOMER!A14:B63,2,0)</f>
        <v>Karan Malhotra</v>
      </c>
    </row>
    <row r="15" spans="1:5" x14ac:dyDescent="0.25">
      <c r="A15">
        <v>114</v>
      </c>
      <c r="B15" t="s">
        <v>18</v>
      </c>
      <c r="C15" t="s">
        <v>19</v>
      </c>
      <c r="D15">
        <v>11000</v>
      </c>
      <c r="E15" t="str">
        <f>VLOOKUP(A15,CUSTOMER!A15:B64,2,0)</f>
        <v>Neha Kulkarni</v>
      </c>
    </row>
    <row r="16" spans="1:5" x14ac:dyDescent="0.25">
      <c r="A16">
        <v>115</v>
      </c>
      <c r="B16" t="s">
        <v>21</v>
      </c>
      <c r="C16" t="s">
        <v>16</v>
      </c>
      <c r="D16">
        <v>4000</v>
      </c>
      <c r="E16" t="str">
        <f>VLOOKUP(A16,CUSTOMER!A16:B65,2,0)</f>
        <v>Siddharth Jain</v>
      </c>
    </row>
    <row r="17" spans="1:5" x14ac:dyDescent="0.25">
      <c r="A17">
        <v>116</v>
      </c>
      <c r="B17" t="s">
        <v>24</v>
      </c>
      <c r="C17" t="s">
        <v>22</v>
      </c>
      <c r="D17">
        <v>19500</v>
      </c>
      <c r="E17" t="str">
        <f>VLOOKUP(A17,CUSTOMER!A17:B66,2,0)</f>
        <v>Meera Iyer</v>
      </c>
    </row>
    <row r="18" spans="1:5" x14ac:dyDescent="0.25">
      <c r="A18">
        <v>117</v>
      </c>
      <c r="B18" t="s">
        <v>15</v>
      </c>
      <c r="C18" t="s">
        <v>19</v>
      </c>
      <c r="D18">
        <v>16000</v>
      </c>
      <c r="E18" t="str">
        <f>VLOOKUP(A18,CUSTOMER!A18:B67,2,0)</f>
        <v>Varun Kapoor</v>
      </c>
    </row>
    <row r="19" spans="1:5" x14ac:dyDescent="0.25">
      <c r="A19">
        <v>118</v>
      </c>
      <c r="B19" t="s">
        <v>18</v>
      </c>
      <c r="C19" t="s">
        <v>16</v>
      </c>
      <c r="D19">
        <v>2800</v>
      </c>
      <c r="E19" t="str">
        <f>VLOOKUP(A19,CUSTOMER!A19:B68,2,0)</f>
        <v>Riya Mishra</v>
      </c>
    </row>
    <row r="20" spans="1:5" x14ac:dyDescent="0.25">
      <c r="A20">
        <v>119</v>
      </c>
      <c r="B20" t="s">
        <v>21</v>
      </c>
      <c r="C20" t="s">
        <v>22</v>
      </c>
      <c r="D20">
        <v>24000</v>
      </c>
      <c r="E20" t="str">
        <f>VLOOKUP(A20,CUSTOMER!A20:B69,2,0)</f>
        <v>Amit Choudhary</v>
      </c>
    </row>
    <row r="21" spans="1:5" x14ac:dyDescent="0.25">
      <c r="A21">
        <v>120</v>
      </c>
      <c r="B21" t="s">
        <v>24</v>
      </c>
      <c r="C21" t="s">
        <v>19</v>
      </c>
      <c r="D21">
        <v>13500</v>
      </c>
      <c r="E21" t="str">
        <f>VLOOKUP(A21,CUSTOMER!A21:B70,2,0)</f>
        <v>Simran Kaur</v>
      </c>
    </row>
    <row r="22" spans="1:5" x14ac:dyDescent="0.25">
      <c r="A22">
        <v>121</v>
      </c>
      <c r="B22" t="s">
        <v>15</v>
      </c>
      <c r="C22" t="s">
        <v>16</v>
      </c>
      <c r="D22">
        <v>3500</v>
      </c>
      <c r="E22" t="str">
        <f>VLOOKUP(A22,CUSTOMER!A22:B71,2,0)</f>
        <v>Nikhil Sinha</v>
      </c>
    </row>
    <row r="23" spans="1:5" x14ac:dyDescent="0.25">
      <c r="A23">
        <v>122</v>
      </c>
      <c r="B23" t="s">
        <v>18</v>
      </c>
      <c r="C23" t="s">
        <v>22</v>
      </c>
      <c r="D23">
        <v>29000</v>
      </c>
      <c r="E23" t="str">
        <f>VLOOKUP(A23,CUSTOMER!A23:B72,2,0)</f>
        <v>Tanvi Pawar</v>
      </c>
    </row>
    <row r="24" spans="1:5" x14ac:dyDescent="0.25">
      <c r="A24">
        <v>123</v>
      </c>
      <c r="B24" t="s">
        <v>21</v>
      </c>
      <c r="C24" t="s">
        <v>19</v>
      </c>
      <c r="D24">
        <v>10500</v>
      </c>
      <c r="E24" t="str">
        <f>VLOOKUP(A24,CUSTOMER!A24:B73,2,0)</f>
        <v>Manish Yadav</v>
      </c>
    </row>
    <row r="25" spans="1:5" x14ac:dyDescent="0.25">
      <c r="A25">
        <v>124</v>
      </c>
      <c r="B25" t="s">
        <v>24</v>
      </c>
      <c r="C25" t="s">
        <v>16</v>
      </c>
      <c r="D25">
        <v>2200</v>
      </c>
      <c r="E25" t="str">
        <f>VLOOKUP(A25,CUSTOMER!A25:B74,2,0)</f>
        <v>Shreya Das</v>
      </c>
    </row>
    <row r="26" spans="1:5" x14ac:dyDescent="0.25">
      <c r="A26">
        <v>125</v>
      </c>
      <c r="B26" t="s">
        <v>15</v>
      </c>
      <c r="C26" t="s">
        <v>22</v>
      </c>
      <c r="D26">
        <v>35000</v>
      </c>
      <c r="E26" t="str">
        <f>VLOOKUP(A26,CUSTOMER!A26:B75,2,0)</f>
        <v>Dev Malhotra</v>
      </c>
    </row>
    <row r="27" spans="1:5" x14ac:dyDescent="0.25">
      <c r="A27">
        <v>126</v>
      </c>
      <c r="B27" t="s">
        <v>18</v>
      </c>
      <c r="C27" t="s">
        <v>19</v>
      </c>
      <c r="D27">
        <v>17500</v>
      </c>
      <c r="E27" t="str">
        <f>VLOOKUP(A27,CUSTOMER!A27:B76,2,0)</f>
        <v>Aisha Khan</v>
      </c>
    </row>
    <row r="28" spans="1:5" x14ac:dyDescent="0.25">
      <c r="A28">
        <v>127</v>
      </c>
      <c r="B28" t="s">
        <v>21</v>
      </c>
      <c r="C28" t="s">
        <v>16</v>
      </c>
      <c r="D28">
        <v>3000</v>
      </c>
      <c r="E28" t="str">
        <f>VLOOKUP(A28,CUSTOMER!A28:B77,2,0)</f>
        <v>Saurabh Mishra</v>
      </c>
    </row>
    <row r="29" spans="1:5" x14ac:dyDescent="0.25">
      <c r="A29">
        <v>128</v>
      </c>
      <c r="B29" t="s">
        <v>24</v>
      </c>
      <c r="C29" t="s">
        <v>22</v>
      </c>
      <c r="D29">
        <v>21000</v>
      </c>
      <c r="E29" t="str">
        <f>VLOOKUP(A29,CUSTOMER!A29:B78,2,0)</f>
        <v>Diya Menon</v>
      </c>
    </row>
    <row r="30" spans="1:5" x14ac:dyDescent="0.25">
      <c r="A30">
        <v>129</v>
      </c>
      <c r="B30" t="s">
        <v>15</v>
      </c>
      <c r="C30" t="s">
        <v>19</v>
      </c>
      <c r="D30">
        <v>12500</v>
      </c>
      <c r="E30" t="str">
        <f>VLOOKUP(A30,CUSTOMER!A30:B79,2,0)</f>
        <v>Harsh Agarwal</v>
      </c>
    </row>
    <row r="31" spans="1:5" x14ac:dyDescent="0.25">
      <c r="A31">
        <v>130</v>
      </c>
      <c r="B31" t="s">
        <v>18</v>
      </c>
      <c r="C31" t="s">
        <v>16</v>
      </c>
      <c r="D31">
        <v>4500</v>
      </c>
      <c r="E31" t="str">
        <f>VLOOKUP(A31,CUSTOMER!A31:B80,2,0)</f>
        <v>Naina Roy</v>
      </c>
    </row>
    <row r="32" spans="1:5" x14ac:dyDescent="0.25">
      <c r="A32">
        <v>131</v>
      </c>
      <c r="B32" t="s">
        <v>21</v>
      </c>
      <c r="C32" t="s">
        <v>22</v>
      </c>
      <c r="D32">
        <v>26000</v>
      </c>
      <c r="E32" t="str">
        <f>VLOOKUP(A32,CUSTOMER!A32:B81,2,0)</f>
        <v>Akash Thakur</v>
      </c>
    </row>
    <row r="33" spans="1:5" x14ac:dyDescent="0.25">
      <c r="A33">
        <v>132</v>
      </c>
      <c r="B33" t="s">
        <v>24</v>
      </c>
      <c r="C33" t="s">
        <v>19</v>
      </c>
      <c r="D33">
        <v>15500</v>
      </c>
      <c r="E33" t="str">
        <f>VLOOKUP(A33,CUSTOMER!A33:B82,2,0)</f>
        <v>Manya Saxena</v>
      </c>
    </row>
    <row r="34" spans="1:5" x14ac:dyDescent="0.25">
      <c r="A34">
        <v>133</v>
      </c>
      <c r="B34" t="s">
        <v>15</v>
      </c>
      <c r="C34" t="s">
        <v>16</v>
      </c>
      <c r="D34">
        <v>1900</v>
      </c>
      <c r="E34" t="str">
        <f>VLOOKUP(A34,CUSTOMER!A34:B83,2,0)</f>
        <v>Rajat Bansal</v>
      </c>
    </row>
    <row r="35" spans="1:5" x14ac:dyDescent="0.25">
      <c r="A35">
        <v>134</v>
      </c>
      <c r="B35" t="s">
        <v>18</v>
      </c>
      <c r="C35" t="s">
        <v>22</v>
      </c>
      <c r="D35">
        <v>31000</v>
      </c>
      <c r="E35" t="str">
        <f>VLOOKUP(A35,CUSTOMER!A35:B84,2,0)</f>
        <v>Komal Chavan</v>
      </c>
    </row>
    <row r="36" spans="1:5" x14ac:dyDescent="0.25">
      <c r="A36">
        <v>135</v>
      </c>
      <c r="B36" t="s">
        <v>21</v>
      </c>
      <c r="C36" t="s">
        <v>19</v>
      </c>
      <c r="D36">
        <v>9000</v>
      </c>
      <c r="E36" t="str">
        <f>VLOOKUP(A36,CUSTOMER!A36:B85,2,0)</f>
        <v>Yash Tiwari</v>
      </c>
    </row>
    <row r="37" spans="1:5" x14ac:dyDescent="0.25">
      <c r="A37">
        <v>136</v>
      </c>
      <c r="B37" t="s">
        <v>24</v>
      </c>
      <c r="C37" t="s">
        <v>16</v>
      </c>
      <c r="D37">
        <v>2700</v>
      </c>
      <c r="E37" t="str">
        <f>VLOOKUP(A37,CUSTOMER!A37:B86,2,0)</f>
        <v>Sakshi Reddy</v>
      </c>
    </row>
    <row r="38" spans="1:5" x14ac:dyDescent="0.25">
      <c r="A38">
        <v>137</v>
      </c>
      <c r="B38" t="s">
        <v>15</v>
      </c>
      <c r="C38" t="s">
        <v>22</v>
      </c>
      <c r="D38">
        <v>23000</v>
      </c>
      <c r="E38" t="str">
        <f>VLOOKUP(A38,CUSTOMER!A38:B87,2,0)</f>
        <v>Mohit Arora</v>
      </c>
    </row>
    <row r="39" spans="1:5" x14ac:dyDescent="0.25">
      <c r="A39">
        <v>138</v>
      </c>
      <c r="B39" t="s">
        <v>18</v>
      </c>
      <c r="C39" t="s">
        <v>19</v>
      </c>
      <c r="D39">
        <v>14000</v>
      </c>
      <c r="E39" t="str">
        <f>VLOOKUP(A39,CUSTOMER!A39:B88,2,0)</f>
        <v>Tanya Bose</v>
      </c>
    </row>
    <row r="40" spans="1:5" x14ac:dyDescent="0.25">
      <c r="A40">
        <v>139</v>
      </c>
      <c r="B40" t="s">
        <v>21</v>
      </c>
      <c r="C40" t="s">
        <v>16</v>
      </c>
      <c r="D40">
        <v>3800</v>
      </c>
      <c r="E40" t="str">
        <f>VLOOKUP(A40,CUSTOMER!A40:B89,2,0)</f>
        <v>Deepak Pillai</v>
      </c>
    </row>
    <row r="41" spans="1:5" x14ac:dyDescent="0.25">
      <c r="A41">
        <v>140</v>
      </c>
      <c r="B41" t="s">
        <v>24</v>
      </c>
      <c r="C41" t="s">
        <v>22</v>
      </c>
      <c r="D41">
        <v>28000</v>
      </c>
      <c r="E41" t="str">
        <f>VLOOKUP(A41,CUSTOMER!A41:B90,2,0)</f>
        <v>Avni Trivedi</v>
      </c>
    </row>
    <row r="42" spans="1:5" x14ac:dyDescent="0.25">
      <c r="A42">
        <v>141</v>
      </c>
      <c r="B42" t="s">
        <v>15</v>
      </c>
      <c r="C42" t="s">
        <v>19</v>
      </c>
      <c r="D42">
        <v>13000</v>
      </c>
      <c r="E42" t="str">
        <f>VLOOKUP(A42,CUSTOMER!A42:B91,2,0)</f>
        <v>Abhishek Ghosh</v>
      </c>
    </row>
    <row r="43" spans="1:5" x14ac:dyDescent="0.25">
      <c r="A43">
        <v>142</v>
      </c>
      <c r="B43" t="s">
        <v>18</v>
      </c>
      <c r="C43" t="s">
        <v>16</v>
      </c>
      <c r="D43">
        <v>2400</v>
      </c>
      <c r="E43" t="str">
        <f>VLOOKUP(A43,CUSTOMER!A43:B92,2,0)</f>
        <v>Nisha Shetty</v>
      </c>
    </row>
    <row r="44" spans="1:5" x14ac:dyDescent="0.25">
      <c r="A44">
        <v>143</v>
      </c>
      <c r="B44" t="s">
        <v>21</v>
      </c>
      <c r="C44" t="s">
        <v>22</v>
      </c>
      <c r="D44">
        <v>34000</v>
      </c>
      <c r="E44" t="str">
        <f>VLOOKUP(A44,CUSTOMER!A44:B93,2,0)</f>
        <v>Varsha Patil</v>
      </c>
    </row>
    <row r="45" spans="1:5" x14ac:dyDescent="0.25">
      <c r="A45">
        <v>144</v>
      </c>
      <c r="B45" t="s">
        <v>24</v>
      </c>
      <c r="C45" t="s">
        <v>19</v>
      </c>
      <c r="D45">
        <v>16500</v>
      </c>
      <c r="E45" t="str">
        <f>VLOOKUP(A45,CUSTOMER!A45:B94,2,0)</f>
        <v>Kabir Anand</v>
      </c>
    </row>
    <row r="46" spans="1:5" x14ac:dyDescent="0.25">
      <c r="A46">
        <v>145</v>
      </c>
      <c r="B46" t="s">
        <v>15</v>
      </c>
      <c r="C46" t="s">
        <v>16</v>
      </c>
      <c r="D46">
        <v>3100</v>
      </c>
      <c r="E46" t="str">
        <f>VLOOKUP(A46,CUSTOMER!A46:B95,2,0)</f>
        <v>Reema Thomas</v>
      </c>
    </row>
    <row r="47" spans="1:5" x14ac:dyDescent="0.25">
      <c r="A47">
        <v>146</v>
      </c>
      <c r="B47" t="s">
        <v>18</v>
      </c>
      <c r="C47" t="s">
        <v>22</v>
      </c>
      <c r="D47">
        <v>20000</v>
      </c>
      <c r="E47" t="str">
        <f>VLOOKUP(A47,CUSTOMER!A47:B96,2,0)</f>
        <v>Pranav More</v>
      </c>
    </row>
    <row r="48" spans="1:5" x14ac:dyDescent="0.25">
      <c r="A48">
        <v>147</v>
      </c>
      <c r="B48" t="s">
        <v>21</v>
      </c>
      <c r="C48" t="s">
        <v>19</v>
      </c>
      <c r="D48">
        <v>11500</v>
      </c>
      <c r="E48" t="str">
        <f>VLOOKUP(A48,CUSTOMER!A48:B97,2,0)</f>
        <v>Sonal Bhatia</v>
      </c>
    </row>
    <row r="49" spans="1:5" x14ac:dyDescent="0.25">
      <c r="A49">
        <v>148</v>
      </c>
      <c r="B49" t="s">
        <v>24</v>
      </c>
      <c r="C49" t="s">
        <v>16</v>
      </c>
      <c r="D49">
        <v>4200</v>
      </c>
      <c r="E49" t="str">
        <f>VLOOKUP(A49,CUSTOMER!A49:B98,2,0)</f>
        <v>Kunal Sethi</v>
      </c>
    </row>
    <row r="50" spans="1:5" x14ac:dyDescent="0.25">
      <c r="A50">
        <v>149</v>
      </c>
      <c r="B50" t="s">
        <v>15</v>
      </c>
      <c r="C50" t="s">
        <v>22</v>
      </c>
      <c r="D50">
        <v>25000</v>
      </c>
      <c r="E50" t="str">
        <f>VLOOKUP(A50,CUSTOMER!A50:B99,2,0)</f>
        <v>Ira Mukherjee</v>
      </c>
    </row>
    <row r="51" spans="1:5" x14ac:dyDescent="0.25">
      <c r="A51">
        <v>150</v>
      </c>
      <c r="B51" t="s">
        <v>18</v>
      </c>
      <c r="C51" t="s">
        <v>19</v>
      </c>
      <c r="D51">
        <v>18000</v>
      </c>
      <c r="E51" t="str">
        <f>VLOOKUP(A51,CUSTOMER!A51:B100,2,0)</f>
        <v>Omkar Jadhav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B37A-91A4-48B0-B897-43838400454E}">
  <dimension ref="A1:E39"/>
  <sheetViews>
    <sheetView tabSelected="1" workbookViewId="0">
      <selection activeCell="J17" sqref="J17"/>
    </sheetView>
  </sheetViews>
  <sheetFormatPr defaultRowHeight="12.5" x14ac:dyDescent="0.25"/>
  <cols>
    <col min="1" max="1" width="14.26953125" customWidth="1"/>
    <col min="2" max="2" width="16.08984375" customWidth="1"/>
    <col min="3" max="3" width="15.1796875" customWidth="1"/>
    <col min="4" max="4" width="15.36328125" customWidth="1"/>
    <col min="5" max="5" width="14.36328125" customWidth="1"/>
    <col min="6" max="6" width="11.08984375" bestFit="1" customWidth="1"/>
  </cols>
  <sheetData>
    <row r="1" spans="1:5" ht="13" x14ac:dyDescent="0.3">
      <c r="B1" s="4" t="s">
        <v>80</v>
      </c>
    </row>
    <row r="3" spans="1:5" x14ac:dyDescent="0.25">
      <c r="A3" s="2" t="s">
        <v>72</v>
      </c>
      <c r="B3" s="2" t="s">
        <v>73</v>
      </c>
    </row>
    <row r="4" spans="1:5" x14ac:dyDescent="0.25">
      <c r="A4" s="2" t="s">
        <v>78</v>
      </c>
      <c r="B4" t="s">
        <v>16</v>
      </c>
      <c r="C4" t="s">
        <v>19</v>
      </c>
      <c r="D4" t="s">
        <v>22</v>
      </c>
      <c r="E4" t="s">
        <v>71</v>
      </c>
    </row>
    <row r="5" spans="1:5" x14ac:dyDescent="0.25">
      <c r="A5" s="3" t="s">
        <v>24</v>
      </c>
      <c r="B5">
        <v>33200</v>
      </c>
      <c r="C5">
        <v>55000</v>
      </c>
      <c r="D5">
        <v>68500</v>
      </c>
      <c r="E5">
        <v>156700</v>
      </c>
    </row>
    <row r="6" spans="1:5" x14ac:dyDescent="0.25">
      <c r="A6" s="3" t="s">
        <v>15</v>
      </c>
      <c r="B6">
        <v>26700</v>
      </c>
      <c r="C6">
        <v>53500</v>
      </c>
      <c r="D6">
        <v>115000</v>
      </c>
      <c r="E6">
        <v>195200</v>
      </c>
    </row>
    <row r="7" spans="1:5" x14ac:dyDescent="0.25">
      <c r="A7" s="3" t="s">
        <v>21</v>
      </c>
      <c r="B7">
        <v>10800</v>
      </c>
      <c r="C7">
        <v>45500</v>
      </c>
      <c r="D7">
        <v>105000</v>
      </c>
      <c r="E7">
        <v>161300</v>
      </c>
    </row>
    <row r="8" spans="1:5" x14ac:dyDescent="0.25">
      <c r="A8" s="3" t="s">
        <v>18</v>
      </c>
      <c r="B8">
        <v>11500</v>
      </c>
      <c r="C8">
        <v>69000</v>
      </c>
      <c r="D8">
        <v>107500</v>
      </c>
      <c r="E8">
        <v>188000</v>
      </c>
    </row>
    <row r="9" spans="1:5" x14ac:dyDescent="0.25">
      <c r="A9" s="3" t="s">
        <v>71</v>
      </c>
      <c r="B9">
        <v>82200</v>
      </c>
      <c r="C9">
        <v>223000</v>
      </c>
      <c r="D9">
        <v>396000</v>
      </c>
      <c r="E9">
        <v>701200</v>
      </c>
    </row>
    <row r="11" spans="1:5" ht="13" x14ac:dyDescent="0.3">
      <c r="A11" s="6"/>
      <c r="B11" s="4" t="s">
        <v>81</v>
      </c>
      <c r="C11" s="4"/>
    </row>
    <row r="13" spans="1:5" x14ac:dyDescent="0.25">
      <c r="A13" s="2" t="s">
        <v>74</v>
      </c>
      <c r="B13" s="2" t="s">
        <v>73</v>
      </c>
    </row>
    <row r="14" spans="1:5" x14ac:dyDescent="0.25">
      <c r="A14" s="2" t="s">
        <v>78</v>
      </c>
      <c r="B14" t="s">
        <v>9</v>
      </c>
      <c r="C14" t="s">
        <v>10</v>
      </c>
      <c r="D14" t="s">
        <v>8</v>
      </c>
      <c r="E14" t="s">
        <v>71</v>
      </c>
    </row>
    <row r="15" spans="1:5" x14ac:dyDescent="0.25">
      <c r="A15" s="3" t="s">
        <v>24</v>
      </c>
      <c r="B15">
        <v>8400</v>
      </c>
      <c r="C15">
        <v>2190</v>
      </c>
      <c r="D15">
        <v>19200</v>
      </c>
      <c r="E15">
        <v>29790</v>
      </c>
    </row>
    <row r="16" spans="1:5" x14ac:dyDescent="0.25">
      <c r="A16" s="3" t="s">
        <v>15</v>
      </c>
      <c r="B16">
        <v>8150</v>
      </c>
      <c r="C16">
        <v>2350</v>
      </c>
      <c r="D16">
        <v>28000</v>
      </c>
      <c r="E16">
        <v>38500</v>
      </c>
    </row>
    <row r="17" spans="1:5" x14ac:dyDescent="0.25">
      <c r="A17" s="3" t="s">
        <v>21</v>
      </c>
      <c r="B17">
        <v>6700</v>
      </c>
      <c r="C17">
        <v>2650</v>
      </c>
      <c r="D17">
        <v>22000</v>
      </c>
      <c r="E17">
        <v>31350</v>
      </c>
    </row>
    <row r="18" spans="1:5" x14ac:dyDescent="0.25">
      <c r="A18" s="3" t="s">
        <v>18</v>
      </c>
      <c r="B18">
        <v>10700</v>
      </c>
      <c r="C18">
        <v>2250</v>
      </c>
      <c r="D18">
        <v>22800</v>
      </c>
      <c r="E18">
        <v>35750</v>
      </c>
    </row>
    <row r="19" spans="1:5" x14ac:dyDescent="0.25">
      <c r="A19" s="3" t="s">
        <v>71</v>
      </c>
      <c r="B19">
        <v>33950</v>
      </c>
      <c r="C19">
        <v>9440</v>
      </c>
      <c r="D19">
        <v>92000</v>
      </c>
      <c r="E19">
        <v>135390</v>
      </c>
    </row>
    <row r="20" spans="1:5" ht="13" x14ac:dyDescent="0.3">
      <c r="A20" s="5" t="s">
        <v>83</v>
      </c>
      <c r="B20" s="5"/>
    </row>
    <row r="22" spans="1:5" x14ac:dyDescent="0.25">
      <c r="A22" s="2" t="s">
        <v>84</v>
      </c>
      <c r="B22" t="s">
        <v>72</v>
      </c>
    </row>
    <row r="23" spans="1:5" x14ac:dyDescent="0.25">
      <c r="A23" s="3" t="s">
        <v>75</v>
      </c>
      <c r="B23">
        <v>398600</v>
      </c>
    </row>
    <row r="24" spans="1:5" x14ac:dyDescent="0.25">
      <c r="A24" s="3" t="s">
        <v>76</v>
      </c>
      <c r="B24">
        <v>302600</v>
      </c>
    </row>
    <row r="25" spans="1:5" x14ac:dyDescent="0.25">
      <c r="A25" s="3" t="s">
        <v>71</v>
      </c>
      <c r="B25">
        <v>701200</v>
      </c>
    </row>
    <row r="26" spans="1:5" x14ac:dyDescent="0.25">
      <c r="A26" s="2" t="s">
        <v>4</v>
      </c>
      <c r="B26" t="s">
        <v>77</v>
      </c>
    </row>
    <row r="27" spans="1:5" ht="13" x14ac:dyDescent="0.3">
      <c r="A27" s="5" t="s">
        <v>82</v>
      </c>
    </row>
    <row r="28" spans="1:5" x14ac:dyDescent="0.25">
      <c r="A28" s="2" t="s">
        <v>79</v>
      </c>
      <c r="B28" t="s">
        <v>72</v>
      </c>
    </row>
    <row r="29" spans="1:5" x14ac:dyDescent="0.25">
      <c r="A29" s="3" t="s">
        <v>45</v>
      </c>
      <c r="B29">
        <v>35000</v>
      </c>
    </row>
    <row r="30" spans="1:5" x14ac:dyDescent="0.25">
      <c r="A30" s="3" t="s">
        <v>63</v>
      </c>
      <c r="B30">
        <v>34000</v>
      </c>
    </row>
    <row r="31" spans="1:5" x14ac:dyDescent="0.25">
      <c r="A31" s="3" t="s">
        <v>33</v>
      </c>
      <c r="B31">
        <v>32000</v>
      </c>
    </row>
    <row r="32" spans="1:5" x14ac:dyDescent="0.25">
      <c r="A32" s="3" t="s">
        <v>54</v>
      </c>
      <c r="B32">
        <v>31000</v>
      </c>
    </row>
    <row r="33" spans="1:2" x14ac:dyDescent="0.25">
      <c r="A33" s="3" t="s">
        <v>42</v>
      </c>
      <c r="B33">
        <v>29000</v>
      </c>
    </row>
    <row r="34" spans="1:2" x14ac:dyDescent="0.25">
      <c r="A34" s="3" t="s">
        <v>60</v>
      </c>
      <c r="B34">
        <v>28000</v>
      </c>
    </row>
    <row r="35" spans="1:2" x14ac:dyDescent="0.25">
      <c r="A35" s="3" t="s">
        <v>30</v>
      </c>
      <c r="B35">
        <v>27500</v>
      </c>
    </row>
    <row r="36" spans="1:2" x14ac:dyDescent="0.25">
      <c r="A36" s="3" t="s">
        <v>51</v>
      </c>
      <c r="B36">
        <v>26000</v>
      </c>
    </row>
    <row r="37" spans="1:2" x14ac:dyDescent="0.25">
      <c r="A37" s="3" t="s">
        <v>69</v>
      </c>
      <c r="B37">
        <v>25000</v>
      </c>
    </row>
    <row r="38" spans="1:2" x14ac:dyDescent="0.25">
      <c r="A38" s="3" t="s">
        <v>39</v>
      </c>
      <c r="B38">
        <v>24000</v>
      </c>
    </row>
    <row r="39" spans="1:2" x14ac:dyDescent="0.25">
      <c r="A39" s="3" t="s">
        <v>71</v>
      </c>
      <c r="B39">
        <v>291500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</vt:lpstr>
      <vt:lpstr>DERIVED TABLE</vt:lpstr>
      <vt:lpstr>DERIVED TABLE 1</vt:lpstr>
      <vt:lpstr>DERIVED TABLE 2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TANWI PAL</cp:lastModifiedBy>
  <cp:revision>0</cp:revision>
  <dcterms:modified xsi:type="dcterms:W3CDTF">2026-10-22T06:19:52Z</dcterms:modified>
  <dc:language>en-US</dc:language>
</cp:coreProperties>
</file>